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https://zhaw-my.sharepoint.com/personal/pfeifsar_students_zhaw_ch/Documents/6. Semester MSc UnR/Thesis/R_Project/00_data_raw/"/>
    </mc:Choice>
  </mc:AlternateContent>
  <xr:revisionPtr revIDLastSave="730" documentId="13_ncr:1_{F5B91F4B-6C5E-40FC-8FE7-21E477E3C12E}" xr6:coauthVersionLast="47" xr6:coauthVersionMax="47" xr10:uidLastSave="{3151A5BA-49AE-4D37-AEB7-E9969F0BE9F0}"/>
  <bookViews>
    <workbookView xWindow="-110" yWindow="-110" windowWidth="19420" windowHeight="11500" activeTab="1" xr2:uid="{00000000-000D-0000-FFFF-FFFF00000000}"/>
  </bookViews>
  <sheets>
    <sheet name="Stammdaten und Aufwand" sheetId="1" r:id="rId1"/>
    <sheet name="Ökologische Leistung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6" i="2" l="1"/>
  <c r="K26" i="2"/>
  <c r="I26" i="2"/>
  <c r="F26" i="2"/>
  <c r="M25" i="2"/>
  <c r="K25" i="2"/>
  <c r="I25" i="2"/>
  <c r="F25" i="2"/>
  <c r="M24" i="2"/>
  <c r="K24" i="2"/>
  <c r="I24" i="2"/>
  <c r="F24" i="2"/>
  <c r="M23" i="2"/>
  <c r="K23" i="2"/>
  <c r="I23" i="2"/>
  <c r="F23" i="2"/>
  <c r="M22" i="2"/>
  <c r="K22" i="2"/>
  <c r="I22" i="2"/>
  <c r="F22" i="2"/>
  <c r="M21" i="2"/>
  <c r="K21" i="2"/>
  <c r="I21" i="2"/>
  <c r="F21" i="2"/>
  <c r="M20" i="2"/>
  <c r="K20" i="2"/>
  <c r="I20" i="2"/>
  <c r="F20" i="2"/>
  <c r="M19" i="2"/>
  <c r="K19" i="2"/>
  <c r="I19" i="2"/>
  <c r="F19" i="2"/>
  <c r="M18" i="2"/>
  <c r="K18" i="2"/>
  <c r="I18" i="2"/>
  <c r="F18" i="2"/>
  <c r="M17" i="2"/>
  <c r="K17" i="2"/>
  <c r="I17" i="2"/>
  <c r="F17" i="2"/>
  <c r="M16" i="2"/>
  <c r="K16" i="2"/>
  <c r="I16" i="2"/>
  <c r="F16" i="2"/>
  <c r="M15" i="2"/>
  <c r="K15" i="2"/>
  <c r="I15" i="2"/>
  <c r="F15" i="2"/>
  <c r="M14" i="2"/>
  <c r="K14" i="2"/>
  <c r="I14" i="2"/>
  <c r="F14" i="2"/>
  <c r="M13" i="2"/>
  <c r="K13" i="2"/>
  <c r="I13" i="2"/>
  <c r="F13" i="2"/>
  <c r="M12" i="2"/>
  <c r="K12" i="2"/>
  <c r="I12" i="2"/>
  <c r="F12" i="2"/>
  <c r="M11" i="2"/>
  <c r="K11" i="2"/>
  <c r="I11" i="2"/>
  <c r="F11" i="2"/>
  <c r="M10" i="2"/>
  <c r="K10" i="2"/>
  <c r="I10" i="2"/>
  <c r="F10" i="2"/>
  <c r="M9" i="2"/>
  <c r="K9" i="2"/>
  <c r="I9" i="2"/>
  <c r="F9" i="2"/>
  <c r="M8" i="2"/>
  <c r="K8" i="2"/>
  <c r="I8" i="2"/>
  <c r="F8" i="2"/>
  <c r="M7" i="2"/>
  <c r="K7" i="2"/>
  <c r="I7" i="2"/>
  <c r="F7" i="2"/>
  <c r="M6" i="2"/>
  <c r="K6" i="2"/>
  <c r="I6" i="2"/>
  <c r="F6" i="2"/>
  <c r="M5" i="2"/>
  <c r="K5" i="2"/>
  <c r="I5" i="2"/>
  <c r="F5" i="2"/>
  <c r="M4" i="2"/>
  <c r="K4" i="2"/>
  <c r="I4" i="2"/>
  <c r="F4" i="2"/>
  <c r="M3" i="2"/>
  <c r="K3" i="2"/>
  <c r="I3" i="2"/>
  <c r="F3" i="2"/>
  <c r="M2" i="2"/>
  <c r="K2" i="2"/>
  <c r="I2" i="2"/>
  <c r="F2" i="2"/>
  <c r="F24" i="1" l="1"/>
  <c r="J26" i="1" l="1"/>
  <c r="J25" i="1"/>
  <c r="J24" i="1"/>
  <c r="J23" i="1"/>
  <c r="J22" i="1"/>
  <c r="J21" i="1"/>
  <c r="J20" i="1"/>
  <c r="J19" i="1"/>
  <c r="J18" i="1"/>
  <c r="J17" i="1"/>
  <c r="J16" i="1"/>
  <c r="J15" i="1"/>
  <c r="J14" i="1"/>
  <c r="J13" i="1"/>
  <c r="J12" i="1"/>
  <c r="J11" i="1"/>
  <c r="J10" i="1"/>
  <c r="J9" i="1"/>
  <c r="J8" i="1"/>
  <c r="J7" i="1"/>
  <c r="J6" i="1"/>
  <c r="J5" i="1"/>
  <c r="J3" i="1"/>
  <c r="J4" i="1"/>
  <c r="J2" i="1"/>
  <c r="F26" i="1"/>
  <c r="F25" i="1"/>
  <c r="F23" i="1"/>
  <c r="F22" i="1"/>
  <c r="F21" i="1"/>
  <c r="F20" i="1"/>
  <c r="F19" i="1"/>
  <c r="F18" i="1"/>
  <c r="F17" i="1"/>
  <c r="F16" i="1"/>
  <c r="F15" i="1"/>
  <c r="F14" i="1"/>
  <c r="F13" i="1"/>
  <c r="F12" i="1"/>
  <c r="F11" i="1"/>
  <c r="F9" i="1"/>
  <c r="F8" i="1"/>
  <c r="F7" i="1"/>
  <c r="F6" i="1"/>
  <c r="F5" i="1"/>
  <c r="F4" i="1"/>
  <c r="F3" i="1"/>
  <c r="F10" i="1"/>
  <c r="F2" i="1"/>
</calcChain>
</file>

<file path=xl/sharedStrings.xml><?xml version="1.0" encoding="utf-8"?>
<sst xmlns="http://schemas.openxmlformats.org/spreadsheetml/2006/main" count="371" uniqueCount="111">
  <si>
    <t>Baumkategorie</t>
  </si>
  <si>
    <t>Baumart</t>
  </si>
  <si>
    <t>80-120</t>
  </si>
  <si>
    <t>60-100</t>
  </si>
  <si>
    <t>Lebensdauer in Städte [a]</t>
  </si>
  <si>
    <t>80-150</t>
  </si>
  <si>
    <t>50-80</t>
  </si>
  <si>
    <t>15-20</t>
  </si>
  <si>
    <t>Grösse Baumrigolen [m³]</t>
  </si>
  <si>
    <t>70-90</t>
  </si>
  <si>
    <t>60-80</t>
  </si>
  <si>
    <t>70-100</t>
  </si>
  <si>
    <t>60-90</t>
  </si>
  <si>
    <t>Biodiversitäts Index [1-5]</t>
  </si>
  <si>
    <t>Kronenbreite (ausgewachsen) [m]</t>
  </si>
  <si>
    <t>4-6</t>
  </si>
  <si>
    <t>4-7</t>
  </si>
  <si>
    <t>2-4</t>
  </si>
  <si>
    <t>1-2</t>
  </si>
  <si>
    <t>12-15</t>
  </si>
  <si>
    <t>12-18</t>
  </si>
  <si>
    <t>8-10</t>
  </si>
  <si>
    <t>5-6</t>
  </si>
  <si>
    <t>10-15</t>
  </si>
  <si>
    <t>8-12</t>
  </si>
  <si>
    <t>6-8</t>
  </si>
  <si>
    <t>Grosskronige Arten</t>
  </si>
  <si>
    <t>Mittelgrosse Arten</t>
  </si>
  <si>
    <t>Kleine Arten</t>
  </si>
  <si>
    <t>250-400</t>
  </si>
  <si>
    <t>150-250</t>
  </si>
  <si>
    <r>
      <t>Zelkova serrata</t>
    </r>
    <r>
      <rPr>
        <sz val="10"/>
        <color rgb="FF000000"/>
        <rFont val="Arial"/>
        <family val="2"/>
        <scheme val="minor"/>
      </rPr>
      <t xml:space="preserve"> (Japanische Zelkove)</t>
    </r>
  </si>
  <si>
    <r>
      <t>Aesculus flava</t>
    </r>
    <r>
      <rPr>
        <sz val="10"/>
        <color rgb="FF000000"/>
        <rFont val="Arial"/>
        <family val="2"/>
        <scheme val="minor"/>
      </rPr>
      <t xml:space="preserve"> (Gelbe Rosskastanie)</t>
    </r>
  </si>
  <si>
    <r>
      <t>Parrotia persica</t>
    </r>
    <r>
      <rPr>
        <sz val="10"/>
        <color rgb="FF000000"/>
        <rFont val="Arial"/>
        <family val="2"/>
        <scheme val="minor"/>
      </rPr>
      <t xml:space="preserve"> (Eisenholzbaum)</t>
    </r>
  </si>
  <si>
    <r>
      <t>Amelanchier lamarckii</t>
    </r>
    <r>
      <rPr>
        <sz val="10"/>
        <color rgb="FF000000"/>
        <rFont val="Arial"/>
        <family val="2"/>
        <scheme val="minor"/>
      </rPr>
      <t xml:space="preserve"> (Felsenbirne)</t>
    </r>
  </si>
  <si>
    <r>
      <t>Cornus mas</t>
    </r>
    <r>
      <rPr>
        <sz val="10"/>
        <color rgb="FF000000"/>
        <rFont val="Arial"/>
        <family val="2"/>
        <scheme val="minor"/>
      </rPr>
      <t xml:space="preserve"> (Kornelkirsche)</t>
    </r>
  </si>
  <si>
    <t>Gattung</t>
  </si>
  <si>
    <t>Familie</t>
  </si>
  <si>
    <t>Liriodendron</t>
  </si>
  <si>
    <t>Magnoliaceae</t>
  </si>
  <si>
    <t>Koelreuteria</t>
  </si>
  <si>
    <t>Sapindaceae</t>
  </si>
  <si>
    <t>5-8</t>
  </si>
  <si>
    <t>Zelkova</t>
  </si>
  <si>
    <t>Ulmaceae</t>
  </si>
  <si>
    <t>Aesculus</t>
  </si>
  <si>
    <t>Parrotia</t>
  </si>
  <si>
    <t>Hamamelidaceae</t>
  </si>
  <si>
    <t>6-10</t>
  </si>
  <si>
    <t>2.4</t>
  </si>
  <si>
    <t>Amelanchier</t>
  </si>
  <si>
    <t>Rosaceae</t>
  </si>
  <si>
    <t>3-5</t>
  </si>
  <si>
    <t>Cornus</t>
  </si>
  <si>
    <t>Cornaceae</t>
  </si>
  <si>
    <t>Pyrus</t>
  </si>
  <si>
    <t>Quercus</t>
  </si>
  <si>
    <t>Tilia</t>
  </si>
  <si>
    <t>Ulmus</t>
  </si>
  <si>
    <t>Acer</t>
  </si>
  <si>
    <t>Celtis</t>
  </si>
  <si>
    <t>Ostrya</t>
  </si>
  <si>
    <t>Sorbus</t>
  </si>
  <si>
    <t>Gleditsia</t>
  </si>
  <si>
    <t>Juglans</t>
  </si>
  <si>
    <t>Prunus</t>
  </si>
  <si>
    <t>Malus</t>
  </si>
  <si>
    <t>Corylus</t>
  </si>
  <si>
    <t>Fagaceae</t>
  </si>
  <si>
    <t>Malvaceae</t>
  </si>
  <si>
    <t>Altingiaceae</t>
  </si>
  <si>
    <t>Cannabaceae</t>
  </si>
  <si>
    <t>Betulaceae</t>
  </si>
  <si>
    <t>Fabaceae</t>
  </si>
  <si>
    <t>Juglandaceae</t>
  </si>
  <si>
    <r>
      <t>Quercus robur</t>
    </r>
    <r>
      <rPr>
        <sz val="10"/>
        <color rgb="FF000000"/>
        <rFont val="Arial"/>
        <family val="2"/>
        <scheme val="minor"/>
      </rPr>
      <t xml:space="preserve"> (Stieleiche)</t>
    </r>
  </si>
  <si>
    <r>
      <t>Quercus petraea</t>
    </r>
    <r>
      <rPr>
        <sz val="10"/>
        <color rgb="FF000000"/>
        <rFont val="Arial"/>
        <family val="2"/>
        <scheme val="minor"/>
      </rPr>
      <t xml:space="preserve"> (Traubeneiche)</t>
    </r>
  </si>
  <si>
    <r>
      <t>Tilia tomentosa</t>
    </r>
    <r>
      <rPr>
        <sz val="10"/>
        <color rgb="FF000000"/>
        <rFont val="Arial"/>
        <family val="2"/>
        <scheme val="minor"/>
      </rPr>
      <t xml:space="preserve"> (Silber-Linde)</t>
    </r>
  </si>
  <si>
    <r>
      <t>Tilia cordata</t>
    </r>
    <r>
      <rPr>
        <sz val="10"/>
        <color rgb="FF000000"/>
        <rFont val="Arial"/>
        <family val="2"/>
        <scheme val="minor"/>
      </rPr>
      <t xml:space="preserve"> (Winterlinde)</t>
    </r>
  </si>
  <si>
    <r>
      <t>Tilia × europaea</t>
    </r>
    <r>
      <rPr>
        <sz val="10"/>
        <color rgb="FF000000"/>
        <rFont val="Arial"/>
        <family val="2"/>
        <scheme val="minor"/>
      </rPr>
      <t xml:space="preserve"> ‘Pallida’ (Kaiser-Linde, Holländische Linde)</t>
    </r>
  </si>
  <si>
    <r>
      <t>Liriodendron tulipifera</t>
    </r>
    <r>
      <rPr>
        <sz val="10"/>
        <color rgb="FF000000"/>
        <rFont val="Arial"/>
        <family val="2"/>
        <scheme val="minor"/>
      </rPr>
      <t xml:space="preserve"> (Tulpenbaum)</t>
    </r>
  </si>
  <si>
    <r>
      <t>Liquidambar styraciflua</t>
    </r>
    <r>
      <rPr>
        <sz val="10"/>
        <color rgb="FF000000"/>
        <rFont val="Arial"/>
        <family val="2"/>
        <scheme val="minor"/>
      </rPr>
      <t xml:space="preserve"> ‘Worplesdon’ (Amberbaum)</t>
    </r>
  </si>
  <si>
    <r>
      <t>Koelreuteria paniculata</t>
    </r>
    <r>
      <rPr>
        <sz val="10"/>
        <color rgb="FF000000"/>
        <rFont val="Arial"/>
        <family val="2"/>
        <scheme val="minor"/>
      </rPr>
      <t xml:space="preserve"> (Blasenbaum)</t>
    </r>
  </si>
  <si>
    <r>
      <t>Ulmus</t>
    </r>
    <r>
      <rPr>
        <sz val="10"/>
        <color rgb="FF000000"/>
        <rFont val="Arial"/>
        <family val="2"/>
        <scheme val="minor"/>
      </rPr>
      <t xml:space="preserve"> ‘New Horizon’ (Hybridulme)</t>
    </r>
  </si>
  <si>
    <r>
      <t>Acer campestre</t>
    </r>
    <r>
      <rPr>
        <sz val="10"/>
        <color rgb="FF000000"/>
        <rFont val="Arial"/>
        <family val="2"/>
        <scheme val="minor"/>
      </rPr>
      <t xml:space="preserve"> ‘Elsrijk’ (Feldahorn)</t>
    </r>
  </si>
  <si>
    <r>
      <t>Celtis australis</t>
    </r>
    <r>
      <rPr>
        <sz val="10"/>
        <color rgb="FF000000"/>
        <rFont val="Arial"/>
        <family val="2"/>
        <scheme val="minor"/>
      </rPr>
      <t xml:space="preserve"> (Südlicher Zürgelbaum)</t>
    </r>
  </si>
  <si>
    <r>
      <t>Ostrya carpinifolia</t>
    </r>
    <r>
      <rPr>
        <sz val="10"/>
        <color rgb="FF000000"/>
        <rFont val="Arial"/>
        <family val="2"/>
        <scheme val="minor"/>
      </rPr>
      <t xml:space="preserve"> (Hopfenbuche)</t>
    </r>
  </si>
  <si>
    <r>
      <t>Sorbus aria</t>
    </r>
    <r>
      <rPr>
        <sz val="10"/>
        <color rgb="FF000000"/>
        <rFont val="Arial"/>
        <family val="2"/>
        <scheme val="minor"/>
      </rPr>
      <t xml:space="preserve"> ‘Magnifica’ (Mehlbeere)</t>
    </r>
  </si>
  <si>
    <r>
      <t>Sorbus latifolia</t>
    </r>
    <r>
      <rPr>
        <sz val="10"/>
        <color rgb="FF000000"/>
        <rFont val="Arial"/>
        <family val="2"/>
        <scheme val="minor"/>
      </rPr>
      <t xml:space="preserve"> ‘Henk Vink’ (Breitblättrige Mehlbeere)</t>
    </r>
  </si>
  <si>
    <r>
      <t>Gleditsia triacanthos</t>
    </r>
    <r>
      <rPr>
        <sz val="10"/>
        <color rgb="FF000000"/>
        <rFont val="Arial"/>
        <family val="2"/>
        <scheme val="minor"/>
      </rPr>
      <t xml:space="preserve"> ‘Skyline’ (dornenlos)</t>
    </r>
  </si>
  <si>
    <r>
      <t>Juglans nigra</t>
    </r>
    <r>
      <rPr>
        <sz val="10"/>
        <color rgb="FF000000"/>
        <rFont val="Arial"/>
        <family val="2"/>
        <scheme val="minor"/>
      </rPr>
      <t xml:space="preserve"> (Schwarznuss)</t>
    </r>
  </si>
  <si>
    <r>
      <t>Prunus padus</t>
    </r>
    <r>
      <rPr>
        <sz val="10"/>
        <color rgb="FF000000"/>
        <rFont val="Arial"/>
        <family val="2"/>
        <scheme val="minor"/>
      </rPr>
      <t xml:space="preserve"> ‘Schloss Tiefurt’ (Traubenkirsche)</t>
    </r>
  </si>
  <si>
    <r>
      <t>Malus tschonoskii</t>
    </r>
    <r>
      <rPr>
        <sz val="10"/>
        <color rgb="FF000000"/>
        <rFont val="Arial"/>
        <family val="2"/>
        <scheme val="minor"/>
      </rPr>
      <t xml:space="preserve"> (Woll-Apfel)</t>
    </r>
  </si>
  <si>
    <r>
      <t>Corylus colurna</t>
    </r>
    <r>
      <rPr>
        <sz val="10"/>
        <color rgb="FF000000"/>
        <rFont val="Arial"/>
        <family val="2"/>
        <scheme val="minor"/>
      </rPr>
      <t xml:space="preserve"> (Baumhasel)</t>
    </r>
  </si>
  <si>
    <r>
      <t>Pyrus calleryana</t>
    </r>
    <r>
      <rPr>
        <sz val="10"/>
        <color rgb="FF000000"/>
        <rFont val="Arial"/>
        <family val="2"/>
        <scheme val="minor"/>
      </rPr>
      <t xml:space="preserve"> ‘Chanticleer’ (Chinesische Zierbirne)</t>
    </r>
  </si>
  <si>
    <t>Lebensdauer MW [a]</t>
  </si>
  <si>
    <t>Klimaangepasst [0-3]</t>
  </si>
  <si>
    <t>geeignet als Stadtbaum [0-3]</t>
  </si>
  <si>
    <t>Kronenbreite MW [m]</t>
  </si>
  <si>
    <t>Kühlung [°C]</t>
  </si>
  <si>
    <t>Kühlung MW [°C]</t>
  </si>
  <si>
    <t>CO2​-Bindung [kg CO₂/a]</t>
  </si>
  <si>
    <t>Regenwasserspeicherung [l/d]</t>
  </si>
  <si>
    <t xml:space="preserve">Regenwasserspeicherung MW [l/d] </t>
  </si>
  <si>
    <t>Pflegeaufwand [0-3]</t>
  </si>
  <si>
    <t>Recyclingpotential [0-3]</t>
  </si>
  <si>
    <t>30-45</t>
  </si>
  <si>
    <t>20-35</t>
  </si>
  <si>
    <t>CO2​-Bindung MW [kg CO₂/a]</t>
  </si>
  <si>
    <t>Liquidambar</t>
  </si>
  <si>
    <t>40-60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</si>
</sst>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sz val="10"/>
      <color theme="1"/>
      <name val="&quot;Arial&quot;"/>
    </font>
    <font>
      <b/>
      <sz val="10"/>
      <color theme="1"/>
      <name val="Arial"/>
      <family val="2"/>
      <scheme val="minor"/>
    </font>
    <font>
      <b/>
      <sz val="10"/>
      <color rgb="FF000000"/>
      <name val="Arial"/>
      <family val="2"/>
      <scheme val="minor"/>
    </font>
    <font>
      <sz val="10"/>
      <color rgb="FF000000"/>
      <name val="Arial"/>
      <family val="2"/>
      <scheme val="minor"/>
    </font>
    <font>
      <sz val="8"/>
      <name val="Arial"/>
      <family val="2"/>
      <scheme val="minor"/>
    </font>
    <font>
      <i/>
      <sz val="11"/>
      <color rgb="FF000000"/>
      <name val="Aptos"/>
      <family val="2"/>
    </font>
    <font>
      <i/>
      <sz val="10"/>
      <color rgb="FF000000"/>
      <name val="Arial"/>
      <family val="2"/>
      <scheme val="minor"/>
    </font>
    <font>
      <sz val="11"/>
      <color rgb="FF000000"/>
      <name val="Aptos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0" borderId="0" xfId="0" applyFont="1"/>
    <xf numFmtId="0" fontId="2" fillId="0" borderId="0" xfId="0" applyFont="1"/>
    <xf numFmtId="0" fontId="1" fillId="0" borderId="0" xfId="0" applyFont="1" applyAlignment="1">
      <alignment horizontal="left" vertical="top"/>
    </xf>
    <xf numFmtId="0" fontId="5" fillId="0" borderId="0" xfId="0" applyFont="1"/>
    <xf numFmtId="0" fontId="5" fillId="0" borderId="0" xfId="0" applyFont="1" applyAlignment="1">
      <alignment vertical="center" wrapText="1"/>
    </xf>
    <xf numFmtId="0" fontId="0" fillId="0" borderId="0" xfId="0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right"/>
    </xf>
    <xf numFmtId="0" fontId="4" fillId="0" borderId="0" xfId="0" applyFont="1" applyAlignment="1">
      <alignment horizontal="center" vertical="center" wrapText="1"/>
    </xf>
    <xf numFmtId="0" fontId="4" fillId="0" borderId="0" xfId="0" applyFont="1" applyAlignment="1">
      <alignment vertical="center" wrapText="1"/>
    </xf>
    <xf numFmtId="0" fontId="5" fillId="0" borderId="0" xfId="0" applyFont="1" applyAlignment="1">
      <alignment vertical="top" wrapText="1"/>
    </xf>
    <xf numFmtId="0" fontId="4" fillId="0" borderId="0" xfId="0" applyFont="1" applyAlignment="1">
      <alignment vertical="top"/>
    </xf>
    <xf numFmtId="49" fontId="5" fillId="0" borderId="0" xfId="0" applyNumberFormat="1" applyFont="1" applyAlignment="1">
      <alignment horizontal="right"/>
    </xf>
    <xf numFmtId="0" fontId="3" fillId="0" borderId="0" xfId="0" applyFont="1" applyAlignment="1">
      <alignment horizontal="left" vertical="top"/>
    </xf>
    <xf numFmtId="0" fontId="0" fillId="0" borderId="0" xfId="0" applyAlignment="1">
      <alignment wrapText="1"/>
    </xf>
    <xf numFmtId="0" fontId="7" fillId="0" borderId="0" xfId="0" applyFont="1"/>
    <xf numFmtId="0" fontId="9" fillId="0" borderId="0" xfId="0" applyFont="1"/>
    <xf numFmtId="0" fontId="5" fillId="0" borderId="0" xfId="0" applyFont="1" applyAlignment="1">
      <alignment wrapText="1"/>
    </xf>
    <xf numFmtId="0" fontId="8" fillId="0" borderId="0" xfId="0" applyFont="1"/>
    <xf numFmtId="2" fontId="5" fillId="0" borderId="0" xfId="0" applyNumberFormat="1" applyFont="1" applyAlignment="1">
      <alignment horizontal="left"/>
    </xf>
    <xf numFmtId="0" fontId="5" fillId="0" borderId="0" xfId="0" applyFont="1" applyAlignment="1">
      <alignment horizontal="right" vertical="center" wrapText="1"/>
    </xf>
    <xf numFmtId="0" fontId="3" fillId="0" borderId="0" xfId="0" applyFont="1"/>
    <xf numFmtId="0" fontId="4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L56"/>
  <sheetViews>
    <sheetView workbookViewId="0">
      <selection activeCell="L26" sqref="A1:L26"/>
    </sheetView>
  </sheetViews>
  <sheetFormatPr baseColWidth="10" defaultColWidth="12.6328125" defaultRowHeight="15.75" customHeight="1"/>
  <cols>
    <col min="1" max="1" width="20.7265625" customWidth="1"/>
    <col min="2" max="2" width="48.54296875" customWidth="1"/>
    <col min="3" max="3" width="19.6328125" customWidth="1"/>
    <col min="4" max="4" width="20.7265625" customWidth="1"/>
    <col min="5" max="5" width="23.54296875" customWidth="1"/>
    <col min="6" max="6" width="20.26953125" customWidth="1"/>
    <col min="7" max="7" width="19" customWidth="1"/>
    <col min="8" max="8" width="25.90625" customWidth="1"/>
    <col min="9" max="9" width="31.08984375" customWidth="1"/>
    <col min="10" max="10" width="21.54296875" customWidth="1"/>
    <col min="11" max="11" width="22.6328125" customWidth="1"/>
    <col min="12" max="12" width="18.26953125" customWidth="1"/>
  </cols>
  <sheetData>
    <row r="1" spans="1:12" s="23" customFormat="1" ht="15.5" customHeight="1">
      <c r="A1" s="22" t="s">
        <v>0</v>
      </c>
      <c r="B1" s="22" t="s">
        <v>1</v>
      </c>
      <c r="C1" s="22" t="s">
        <v>36</v>
      </c>
      <c r="D1" s="22" t="s">
        <v>37</v>
      </c>
      <c r="E1" s="22" t="s">
        <v>4</v>
      </c>
      <c r="F1" s="22" t="s">
        <v>95</v>
      </c>
      <c r="G1" s="22" t="s">
        <v>96</v>
      </c>
      <c r="H1" s="22" t="s">
        <v>97</v>
      </c>
      <c r="I1" s="22" t="s">
        <v>14</v>
      </c>
      <c r="J1" s="22" t="s">
        <v>98</v>
      </c>
      <c r="K1" s="22" t="s">
        <v>8</v>
      </c>
      <c r="L1" s="22" t="s">
        <v>104</v>
      </c>
    </row>
    <row r="2" spans="1:12" ht="15.75" customHeight="1">
      <c r="A2" s="2" t="s">
        <v>26</v>
      </c>
      <c r="B2" s="19" t="s">
        <v>75</v>
      </c>
      <c r="C2" s="19" t="s">
        <v>56</v>
      </c>
      <c r="D2" s="4" t="s">
        <v>68</v>
      </c>
      <c r="E2" s="7" t="s">
        <v>2</v>
      </c>
      <c r="F2" s="7">
        <f>AVERAGE(80,120)</f>
        <v>100</v>
      </c>
      <c r="G2" s="7">
        <v>2</v>
      </c>
      <c r="H2" s="7">
        <v>1</v>
      </c>
      <c r="I2" s="7" t="s">
        <v>7</v>
      </c>
      <c r="J2" s="7">
        <f>AVERAGE(15,20)</f>
        <v>17.5</v>
      </c>
      <c r="K2" s="7">
        <v>38</v>
      </c>
      <c r="L2" s="7">
        <v>2</v>
      </c>
    </row>
    <row r="3" spans="1:12" ht="15.5" customHeight="1">
      <c r="A3" s="2" t="s">
        <v>26</v>
      </c>
      <c r="B3" s="19" t="s">
        <v>76</v>
      </c>
      <c r="C3" s="19" t="s">
        <v>56</v>
      </c>
      <c r="D3" s="4" t="s">
        <v>68</v>
      </c>
      <c r="E3" s="7" t="s">
        <v>2</v>
      </c>
      <c r="F3" s="7">
        <f>AVERAGE(80,120)</f>
        <v>100</v>
      </c>
      <c r="G3" s="7">
        <v>2</v>
      </c>
      <c r="H3" s="7">
        <v>2</v>
      </c>
      <c r="I3" s="7" t="s">
        <v>7</v>
      </c>
      <c r="J3" s="7">
        <f t="shared" ref="J3:J4" si="0">AVERAGE(15,20)</f>
        <v>17.5</v>
      </c>
      <c r="K3" s="7">
        <v>38</v>
      </c>
      <c r="L3" s="7">
        <v>2</v>
      </c>
    </row>
    <row r="4" spans="1:12" ht="15.75" customHeight="1">
      <c r="A4" s="2" t="s">
        <v>26</v>
      </c>
      <c r="B4" s="19" t="s">
        <v>77</v>
      </c>
      <c r="C4" s="19" t="s">
        <v>57</v>
      </c>
      <c r="D4" s="4" t="s">
        <v>69</v>
      </c>
      <c r="E4" s="7" t="s">
        <v>9</v>
      </c>
      <c r="F4" s="7">
        <f>AVERAGE(70,90)</f>
        <v>80</v>
      </c>
      <c r="G4" s="7">
        <v>3</v>
      </c>
      <c r="H4" s="7">
        <v>3</v>
      </c>
      <c r="I4" s="7" t="s">
        <v>7</v>
      </c>
      <c r="J4" s="7">
        <f t="shared" si="0"/>
        <v>17.5</v>
      </c>
      <c r="K4" s="7">
        <v>38</v>
      </c>
      <c r="L4" s="7">
        <v>3</v>
      </c>
    </row>
    <row r="5" spans="1:12" ht="15.5" customHeight="1">
      <c r="A5" s="2" t="s">
        <v>27</v>
      </c>
      <c r="B5" s="19" t="s">
        <v>78</v>
      </c>
      <c r="C5" s="19" t="s">
        <v>57</v>
      </c>
      <c r="D5" s="4" t="s">
        <v>69</v>
      </c>
      <c r="E5" s="7" t="s">
        <v>3</v>
      </c>
      <c r="F5" s="7">
        <f>AVERAGE(60,100)</f>
        <v>80</v>
      </c>
      <c r="G5" s="7">
        <v>2</v>
      </c>
      <c r="H5" s="7">
        <v>3</v>
      </c>
      <c r="I5" s="13" t="s">
        <v>19</v>
      </c>
      <c r="J5" s="7">
        <f>AVERAGE(12,15)</f>
        <v>13.5</v>
      </c>
      <c r="K5" s="7">
        <v>38</v>
      </c>
      <c r="L5" s="7">
        <v>3</v>
      </c>
    </row>
    <row r="6" spans="1:12" ht="15.75" customHeight="1">
      <c r="A6" s="2" t="s">
        <v>26</v>
      </c>
      <c r="B6" s="19" t="s">
        <v>79</v>
      </c>
      <c r="C6" s="19" t="s">
        <v>57</v>
      </c>
      <c r="D6" s="4" t="s">
        <v>69</v>
      </c>
      <c r="E6" s="7" t="s">
        <v>2</v>
      </c>
      <c r="F6" s="7">
        <f>AVERAGE(80,120)</f>
        <v>100</v>
      </c>
      <c r="G6" s="7">
        <v>2</v>
      </c>
      <c r="H6" s="7">
        <v>3</v>
      </c>
      <c r="I6" s="13" t="s">
        <v>20</v>
      </c>
      <c r="J6" s="7">
        <f>AVERAGE(12,18)</f>
        <v>15</v>
      </c>
      <c r="K6" s="7">
        <v>38</v>
      </c>
      <c r="L6" s="7">
        <v>2</v>
      </c>
    </row>
    <row r="7" spans="1:12" ht="14.5">
      <c r="A7" s="2" t="s">
        <v>26</v>
      </c>
      <c r="B7" s="19" t="s">
        <v>80</v>
      </c>
      <c r="C7" s="16" t="s">
        <v>38</v>
      </c>
      <c r="D7" s="17" t="s">
        <v>39</v>
      </c>
      <c r="E7" s="7" t="s">
        <v>3</v>
      </c>
      <c r="F7" s="7">
        <f>AVERAGE(60,100)</f>
        <v>80</v>
      </c>
      <c r="G7" s="7">
        <v>1</v>
      </c>
      <c r="H7" s="7">
        <v>1</v>
      </c>
      <c r="I7" s="13" t="s">
        <v>20</v>
      </c>
      <c r="J7" s="7">
        <f>AVERAGE(12,18)</f>
        <v>15</v>
      </c>
      <c r="K7" s="7">
        <v>38</v>
      </c>
      <c r="L7" s="7">
        <v>2</v>
      </c>
    </row>
    <row r="8" spans="1:12" ht="15.5" customHeight="1">
      <c r="A8" s="2" t="s">
        <v>27</v>
      </c>
      <c r="B8" s="19" t="s">
        <v>81</v>
      </c>
      <c r="C8" s="19" t="s">
        <v>109</v>
      </c>
      <c r="D8" s="4" t="s">
        <v>70</v>
      </c>
      <c r="E8" s="7" t="s">
        <v>10</v>
      </c>
      <c r="F8" s="7">
        <f>AVERAGE(60,80)</f>
        <v>70</v>
      </c>
      <c r="G8" s="7">
        <v>2</v>
      </c>
      <c r="H8" s="7">
        <v>1</v>
      </c>
      <c r="I8" s="13" t="s">
        <v>21</v>
      </c>
      <c r="J8" s="7">
        <f>AVERAGE(8,10)</f>
        <v>9</v>
      </c>
      <c r="K8" s="7">
        <v>24</v>
      </c>
      <c r="L8" s="7">
        <v>3</v>
      </c>
    </row>
    <row r="9" spans="1:12" ht="15.5" customHeight="1">
      <c r="A9" s="2" t="s">
        <v>27</v>
      </c>
      <c r="B9" s="19" t="s">
        <v>82</v>
      </c>
      <c r="C9" s="16" t="s">
        <v>40</v>
      </c>
      <c r="D9" s="17" t="s">
        <v>41</v>
      </c>
      <c r="E9" s="7" t="s">
        <v>12</v>
      </c>
      <c r="F9" s="7">
        <f>AVERAGE(60,90)</f>
        <v>75</v>
      </c>
      <c r="G9" s="7">
        <v>1</v>
      </c>
      <c r="H9" s="7">
        <v>2</v>
      </c>
      <c r="I9" s="13" t="s">
        <v>42</v>
      </c>
      <c r="J9" s="7">
        <f>AVERAGE(5,8)</f>
        <v>6.5</v>
      </c>
      <c r="K9" s="7">
        <v>13</v>
      </c>
      <c r="L9" s="7">
        <v>3</v>
      </c>
    </row>
    <row r="10" spans="1:12" ht="15.5" customHeight="1">
      <c r="A10" s="2" t="s">
        <v>27</v>
      </c>
      <c r="B10" s="19" t="s">
        <v>31</v>
      </c>
      <c r="C10" s="16" t="s">
        <v>43</v>
      </c>
      <c r="D10" s="17" t="s">
        <v>44</v>
      </c>
      <c r="E10" s="7" t="s">
        <v>2</v>
      </c>
      <c r="F10" s="7">
        <f t="shared" ref="F10" si="1">AVERAGE(80,120)</f>
        <v>100</v>
      </c>
      <c r="G10" s="7">
        <v>2</v>
      </c>
      <c r="H10" s="7">
        <v>3</v>
      </c>
      <c r="I10" s="13" t="s">
        <v>23</v>
      </c>
      <c r="J10" s="7">
        <f>AVERAGE(10,15)</f>
        <v>12.5</v>
      </c>
      <c r="K10" s="7">
        <v>38</v>
      </c>
      <c r="L10" s="7">
        <v>3</v>
      </c>
    </row>
    <row r="11" spans="1:12" ht="15.5" customHeight="1">
      <c r="A11" s="2" t="s">
        <v>27</v>
      </c>
      <c r="B11" s="19" t="s">
        <v>32</v>
      </c>
      <c r="C11" s="16" t="s">
        <v>45</v>
      </c>
      <c r="D11" s="17" t="s">
        <v>41</v>
      </c>
      <c r="E11" s="7" t="s">
        <v>3</v>
      </c>
      <c r="F11" s="7">
        <f>AVERAGE(60,100)</f>
        <v>80</v>
      </c>
      <c r="G11" s="7">
        <v>1</v>
      </c>
      <c r="H11" s="7">
        <v>2</v>
      </c>
      <c r="I11" s="13" t="s">
        <v>24</v>
      </c>
      <c r="J11" s="7">
        <f>AVERAGE(8,12)</f>
        <v>10</v>
      </c>
      <c r="K11" s="7">
        <v>24</v>
      </c>
      <c r="L11" s="7">
        <v>2</v>
      </c>
    </row>
    <row r="12" spans="1:12" ht="15.5" customHeight="1">
      <c r="A12" s="2" t="s">
        <v>27</v>
      </c>
      <c r="B12" s="19" t="s">
        <v>33</v>
      </c>
      <c r="C12" s="16" t="s">
        <v>46</v>
      </c>
      <c r="D12" s="17" t="s">
        <v>47</v>
      </c>
      <c r="E12" s="7" t="s">
        <v>3</v>
      </c>
      <c r="F12" s="7">
        <f>AVERAGE(60,100)</f>
        <v>80</v>
      </c>
      <c r="G12" s="7">
        <v>2</v>
      </c>
      <c r="H12" s="7">
        <v>2</v>
      </c>
      <c r="I12" s="13" t="s">
        <v>48</v>
      </c>
      <c r="J12" s="7">
        <f>AVERAGE(6,10)</f>
        <v>8</v>
      </c>
      <c r="K12" s="7">
        <v>24</v>
      </c>
      <c r="L12" s="7">
        <v>3</v>
      </c>
    </row>
    <row r="13" spans="1:12" ht="15" customHeight="1">
      <c r="A13" s="2" t="s">
        <v>28</v>
      </c>
      <c r="B13" s="19" t="s">
        <v>83</v>
      </c>
      <c r="C13" s="19" t="s">
        <v>58</v>
      </c>
      <c r="D13" s="4" t="s">
        <v>44</v>
      </c>
      <c r="E13" s="7" t="s">
        <v>2</v>
      </c>
      <c r="F13" s="7">
        <f>AVERAGE(80,120)</f>
        <v>100</v>
      </c>
      <c r="G13" s="7">
        <v>3</v>
      </c>
      <c r="H13" s="7">
        <v>3</v>
      </c>
      <c r="I13" s="13" t="s">
        <v>22</v>
      </c>
      <c r="J13" s="7">
        <f>AVERAGE(5,6)</f>
        <v>5.5</v>
      </c>
      <c r="K13" s="7">
        <v>13</v>
      </c>
      <c r="L13" s="7">
        <v>2</v>
      </c>
    </row>
    <row r="14" spans="1:12" ht="15.75" customHeight="1">
      <c r="A14" s="2" t="s">
        <v>28</v>
      </c>
      <c r="B14" s="19" t="s">
        <v>84</v>
      </c>
      <c r="C14" s="19" t="s">
        <v>59</v>
      </c>
      <c r="D14" s="17" t="s">
        <v>41</v>
      </c>
      <c r="E14" s="7" t="s">
        <v>3</v>
      </c>
      <c r="F14" s="7">
        <f>AVERAGE(60,100)</f>
        <v>80</v>
      </c>
      <c r="G14" s="7">
        <v>3</v>
      </c>
      <c r="H14" s="7">
        <v>3</v>
      </c>
      <c r="I14" s="13" t="s">
        <v>15</v>
      </c>
      <c r="J14" s="7">
        <f>AVERAGE(4,6)</f>
        <v>5</v>
      </c>
      <c r="K14" s="7">
        <v>13</v>
      </c>
      <c r="L14" s="7">
        <v>3</v>
      </c>
    </row>
    <row r="15" spans="1:12" ht="15.75" customHeight="1">
      <c r="A15" s="1" t="s">
        <v>27</v>
      </c>
      <c r="B15" s="19" t="s">
        <v>85</v>
      </c>
      <c r="C15" s="19" t="s">
        <v>60</v>
      </c>
      <c r="D15" s="4" t="s">
        <v>71</v>
      </c>
      <c r="E15" s="7" t="s">
        <v>11</v>
      </c>
      <c r="F15" s="7">
        <f>AVERAGE(70,100)</f>
        <v>85</v>
      </c>
      <c r="G15" s="7">
        <v>3</v>
      </c>
      <c r="H15" s="7">
        <v>2</v>
      </c>
      <c r="I15" s="13" t="s">
        <v>23</v>
      </c>
      <c r="J15" s="7">
        <f>AVERAGE(10,15)</f>
        <v>12.5</v>
      </c>
      <c r="K15" s="7">
        <v>38</v>
      </c>
      <c r="L15" s="7">
        <v>3</v>
      </c>
    </row>
    <row r="16" spans="1:12" ht="15.75" customHeight="1">
      <c r="A16" s="1" t="s">
        <v>27</v>
      </c>
      <c r="B16" s="19" t="s">
        <v>86</v>
      </c>
      <c r="C16" s="19" t="s">
        <v>61</v>
      </c>
      <c r="D16" s="4" t="s">
        <v>72</v>
      </c>
      <c r="E16" s="7" t="s">
        <v>3</v>
      </c>
      <c r="F16" s="7">
        <f>AVERAGE(60,100)</f>
        <v>80</v>
      </c>
      <c r="G16" s="7">
        <v>3</v>
      </c>
      <c r="H16" s="7">
        <v>3</v>
      </c>
      <c r="I16" s="13" t="s">
        <v>24</v>
      </c>
      <c r="J16" s="7">
        <f>AVERAGE(8,12)</f>
        <v>10</v>
      </c>
      <c r="K16" s="7">
        <v>24</v>
      </c>
      <c r="L16" s="7">
        <v>3</v>
      </c>
    </row>
    <row r="17" spans="1:12" ht="15.75" customHeight="1">
      <c r="A17" s="3" t="s">
        <v>28</v>
      </c>
      <c r="B17" s="19" t="s">
        <v>87</v>
      </c>
      <c r="C17" s="19" t="s">
        <v>62</v>
      </c>
      <c r="D17" s="4" t="s">
        <v>51</v>
      </c>
      <c r="E17" s="7" t="s">
        <v>12</v>
      </c>
      <c r="F17" s="7">
        <f>AVERAGE(60,90)</f>
        <v>75</v>
      </c>
      <c r="G17" s="7">
        <v>2</v>
      </c>
      <c r="H17" s="7">
        <v>3</v>
      </c>
      <c r="I17" s="13" t="s">
        <v>16</v>
      </c>
      <c r="J17" s="7">
        <f>AVERAGE(4,7)</f>
        <v>5.5</v>
      </c>
      <c r="K17" s="7">
        <v>13</v>
      </c>
      <c r="L17" s="7">
        <v>3</v>
      </c>
    </row>
    <row r="18" spans="1:12" ht="13">
      <c r="A18" s="3" t="s">
        <v>28</v>
      </c>
      <c r="B18" s="19" t="s">
        <v>88</v>
      </c>
      <c r="C18" s="19" t="s">
        <v>62</v>
      </c>
      <c r="D18" s="4" t="s">
        <v>51</v>
      </c>
      <c r="E18" s="7" t="s">
        <v>11</v>
      </c>
      <c r="F18" s="7">
        <f>AVERAGE(70,100)</f>
        <v>85</v>
      </c>
      <c r="G18" s="7">
        <v>2</v>
      </c>
      <c r="H18" s="7">
        <v>2</v>
      </c>
      <c r="I18" s="13" t="s">
        <v>15</v>
      </c>
      <c r="J18" s="7">
        <f>AVERAGE(4,6)</f>
        <v>5</v>
      </c>
      <c r="K18" s="7">
        <v>13</v>
      </c>
      <c r="L18" s="7">
        <v>3</v>
      </c>
    </row>
    <row r="19" spans="1:12" ht="15.75" customHeight="1">
      <c r="A19" s="1" t="s">
        <v>27</v>
      </c>
      <c r="B19" s="19" t="s">
        <v>89</v>
      </c>
      <c r="C19" s="19" t="s">
        <v>63</v>
      </c>
      <c r="D19" s="4" t="s">
        <v>73</v>
      </c>
      <c r="E19" s="7" t="s">
        <v>3</v>
      </c>
      <c r="F19" s="7">
        <f>AVERAGE(60,100)</f>
        <v>80</v>
      </c>
      <c r="G19" s="7">
        <v>3</v>
      </c>
      <c r="H19" s="7">
        <v>3</v>
      </c>
      <c r="I19" s="13" t="s">
        <v>23</v>
      </c>
      <c r="J19" s="7">
        <f>AVERAGE(10,15)</f>
        <v>12.5</v>
      </c>
      <c r="K19" s="7">
        <v>38</v>
      </c>
      <c r="L19" s="7">
        <v>3</v>
      </c>
    </row>
    <row r="20" spans="1:12" ht="15.75" customHeight="1">
      <c r="A20" s="3" t="s">
        <v>27</v>
      </c>
      <c r="B20" s="19" t="s">
        <v>90</v>
      </c>
      <c r="C20" s="19" t="s">
        <v>64</v>
      </c>
      <c r="D20" s="4" t="s">
        <v>74</v>
      </c>
      <c r="E20" s="7" t="s">
        <v>11</v>
      </c>
      <c r="F20" s="7">
        <f>AVERAGE(70,100)</f>
        <v>85</v>
      </c>
      <c r="G20" s="7">
        <v>1</v>
      </c>
      <c r="H20" s="7">
        <v>1</v>
      </c>
      <c r="I20" s="13" t="s">
        <v>21</v>
      </c>
      <c r="J20" s="7">
        <f>AVERAGE(8,10)</f>
        <v>9</v>
      </c>
      <c r="K20" s="7">
        <v>24</v>
      </c>
      <c r="L20" s="7">
        <v>1</v>
      </c>
    </row>
    <row r="21" spans="1:12" ht="15.75" customHeight="1">
      <c r="A21" s="3" t="s">
        <v>28</v>
      </c>
      <c r="B21" s="19" t="s">
        <v>91</v>
      </c>
      <c r="C21" s="19" t="s">
        <v>65</v>
      </c>
      <c r="D21" s="17" t="s">
        <v>51</v>
      </c>
      <c r="E21" s="7" t="s">
        <v>6</v>
      </c>
      <c r="F21" s="7">
        <f>AVERAGE(50,80)</f>
        <v>65</v>
      </c>
      <c r="G21" s="7">
        <v>1</v>
      </c>
      <c r="H21" s="7">
        <v>2</v>
      </c>
      <c r="I21" s="13" t="s">
        <v>25</v>
      </c>
      <c r="J21" s="7">
        <f>AVERAGE(6,8)</f>
        <v>7</v>
      </c>
      <c r="K21" s="7">
        <v>13</v>
      </c>
      <c r="L21" s="7">
        <v>1</v>
      </c>
    </row>
    <row r="22" spans="1:12" ht="15.75" customHeight="1">
      <c r="A22" s="3" t="s">
        <v>28</v>
      </c>
      <c r="B22" s="19" t="s">
        <v>92</v>
      </c>
      <c r="C22" s="19" t="s">
        <v>66</v>
      </c>
      <c r="D22" s="17" t="s">
        <v>51</v>
      </c>
      <c r="E22" s="7" t="s">
        <v>3</v>
      </c>
      <c r="F22" s="7">
        <f>AVERAGE(60,100)</f>
        <v>80</v>
      </c>
      <c r="G22" s="7">
        <v>1</v>
      </c>
      <c r="H22" s="7">
        <v>1</v>
      </c>
      <c r="I22" s="13" t="s">
        <v>17</v>
      </c>
      <c r="J22" s="7">
        <f>AVERAGE(2,4)</f>
        <v>3</v>
      </c>
      <c r="K22" s="7">
        <v>6</v>
      </c>
      <c r="L22" s="7">
        <v>1</v>
      </c>
    </row>
    <row r="23" spans="1:12" ht="15.75" customHeight="1">
      <c r="A23" s="3" t="s">
        <v>27</v>
      </c>
      <c r="B23" s="19" t="s">
        <v>93</v>
      </c>
      <c r="C23" s="19" t="s">
        <v>67</v>
      </c>
      <c r="D23" s="4" t="s">
        <v>72</v>
      </c>
      <c r="E23" s="7" t="s">
        <v>3</v>
      </c>
      <c r="F23" s="7">
        <f>AVERAGE(60,100)</f>
        <v>80</v>
      </c>
      <c r="G23" s="7">
        <v>3</v>
      </c>
      <c r="H23" s="7">
        <v>3</v>
      </c>
      <c r="I23" s="13" t="s">
        <v>24</v>
      </c>
      <c r="J23" s="7">
        <f>AVERAGE(8,12)</f>
        <v>10</v>
      </c>
      <c r="K23" s="7">
        <v>24</v>
      </c>
      <c r="L23" s="7">
        <v>3</v>
      </c>
    </row>
    <row r="24" spans="1:12" ht="15.75" customHeight="1">
      <c r="A24" s="3" t="s">
        <v>28</v>
      </c>
      <c r="B24" s="19" t="s">
        <v>34</v>
      </c>
      <c r="C24" s="16" t="s">
        <v>50</v>
      </c>
      <c r="D24" s="17" t="s">
        <v>51</v>
      </c>
      <c r="E24" s="7" t="s">
        <v>110</v>
      </c>
      <c r="F24" s="7">
        <f>AVERAGE(40,60)</f>
        <v>50</v>
      </c>
      <c r="G24" s="7">
        <v>2</v>
      </c>
      <c r="H24" s="7">
        <v>2</v>
      </c>
      <c r="I24" s="13" t="s">
        <v>52</v>
      </c>
      <c r="J24" s="7">
        <f>AVERAGE(3,5)</f>
        <v>4</v>
      </c>
      <c r="K24" s="7">
        <v>6</v>
      </c>
      <c r="L24" s="7">
        <v>3</v>
      </c>
    </row>
    <row r="25" spans="1:12" ht="15.75" customHeight="1">
      <c r="A25" s="3" t="s">
        <v>28</v>
      </c>
      <c r="B25" s="19" t="s">
        <v>35</v>
      </c>
      <c r="C25" s="16" t="s">
        <v>53</v>
      </c>
      <c r="D25" s="17" t="s">
        <v>54</v>
      </c>
      <c r="E25" s="7" t="s">
        <v>3</v>
      </c>
      <c r="F25" s="7">
        <f>AVERAGE(60,100)</f>
        <v>80</v>
      </c>
      <c r="G25" s="7">
        <v>2</v>
      </c>
      <c r="H25" s="7">
        <v>1</v>
      </c>
      <c r="I25" s="13" t="s">
        <v>52</v>
      </c>
      <c r="J25" s="7">
        <f>AVERAGE(3,5)</f>
        <v>4</v>
      </c>
      <c r="K25" s="7">
        <v>6</v>
      </c>
      <c r="L25" s="7">
        <v>3</v>
      </c>
    </row>
    <row r="26" spans="1:12" ht="15.75" customHeight="1">
      <c r="A26" s="3" t="s">
        <v>28</v>
      </c>
      <c r="B26" s="19" t="s">
        <v>94</v>
      </c>
      <c r="C26" s="16" t="s">
        <v>55</v>
      </c>
      <c r="D26" s="17" t="s">
        <v>51</v>
      </c>
      <c r="E26" s="7" t="s">
        <v>6</v>
      </c>
      <c r="F26" s="7">
        <f>AVERAGE(50,80)</f>
        <v>65</v>
      </c>
      <c r="G26" s="7">
        <v>2</v>
      </c>
      <c r="H26" s="7">
        <v>2</v>
      </c>
      <c r="I26" s="13" t="s">
        <v>52</v>
      </c>
      <c r="J26" s="7">
        <f>AVERAGE(3,5)</f>
        <v>4</v>
      </c>
      <c r="K26" s="7">
        <v>6</v>
      </c>
      <c r="L26" s="7">
        <v>3</v>
      </c>
    </row>
    <row r="29" spans="1:12" ht="85" customHeight="1">
      <c r="A29" s="14"/>
      <c r="B29" s="18"/>
      <c r="C29" s="15"/>
      <c r="D29" s="15"/>
    </row>
    <row r="30" spans="1:12" ht="105" customHeight="1">
      <c r="A30" s="12"/>
      <c r="B30" s="11"/>
      <c r="C30" s="11"/>
      <c r="D30" s="11"/>
    </row>
    <row r="31" spans="1:12" ht="260" customHeight="1">
      <c r="A31" s="12"/>
      <c r="B31" s="11"/>
      <c r="C31" s="11"/>
      <c r="D31" s="11"/>
    </row>
    <row r="32" spans="1:12" ht="13">
      <c r="A32" s="12"/>
      <c r="B32" s="11"/>
      <c r="C32" s="11"/>
      <c r="D32" s="11"/>
    </row>
    <row r="33" spans="1:8" ht="112" customHeight="1">
      <c r="A33" s="12"/>
      <c r="B33" s="11"/>
      <c r="C33" s="11"/>
      <c r="D33" s="11"/>
    </row>
    <row r="34" spans="1:8" ht="104" customHeight="1">
      <c r="A34" s="12"/>
      <c r="B34" s="11"/>
      <c r="C34" s="11"/>
      <c r="D34" s="11"/>
    </row>
    <row r="35" spans="1:8" ht="178.5" customHeight="1">
      <c r="A35" s="12"/>
      <c r="B35" s="11"/>
      <c r="C35" s="11"/>
      <c r="D35" s="11"/>
    </row>
    <row r="36" spans="1:8" ht="166" customHeight="1">
      <c r="A36" s="12"/>
      <c r="B36" s="11"/>
      <c r="C36" s="11"/>
      <c r="D36" s="11"/>
    </row>
    <row r="37" spans="1:8" ht="264.5" customHeight="1">
      <c r="A37" s="12"/>
      <c r="B37" s="11"/>
      <c r="C37" s="11"/>
      <c r="D37" s="11"/>
    </row>
    <row r="38" spans="1:8" ht="97" customHeight="1">
      <c r="A38" s="12"/>
      <c r="B38" s="11"/>
      <c r="C38" s="11"/>
      <c r="D38" s="11"/>
    </row>
    <row r="39" spans="1:8" ht="13">
      <c r="A39" s="12"/>
      <c r="B39" s="11"/>
      <c r="C39" s="11"/>
      <c r="D39" s="11"/>
    </row>
    <row r="40" spans="1:8" ht="320.5" customHeight="1">
      <c r="A40" s="12"/>
      <c r="B40" s="18"/>
      <c r="C40" s="15"/>
      <c r="D40" s="15"/>
    </row>
    <row r="41" spans="1:8" ht="13">
      <c r="A41" s="12"/>
      <c r="B41" s="11"/>
      <c r="C41" s="11"/>
      <c r="D41" s="11"/>
    </row>
    <row r="44" spans="1:8" ht="13">
      <c r="A44" s="9"/>
      <c r="B44" s="9"/>
      <c r="C44" s="9"/>
      <c r="D44" s="9"/>
      <c r="E44" s="9"/>
      <c r="F44" s="9"/>
      <c r="G44" s="9"/>
      <c r="H44" s="9"/>
    </row>
    <row r="45" spans="1:8" ht="40.5" customHeight="1">
      <c r="A45" s="10"/>
      <c r="B45" s="5"/>
      <c r="C45" s="5"/>
      <c r="D45" s="5"/>
      <c r="E45" s="5"/>
      <c r="F45" s="5"/>
      <c r="G45" s="5"/>
      <c r="H45" s="5"/>
    </row>
    <row r="46" spans="1:8" ht="55.5" customHeight="1">
      <c r="A46" s="10"/>
      <c r="B46" s="5"/>
      <c r="C46" s="5"/>
      <c r="D46" s="5"/>
      <c r="E46" s="5"/>
      <c r="F46" s="5"/>
      <c r="G46" s="5"/>
      <c r="H46" s="5"/>
    </row>
    <row r="47" spans="1:8" ht="41.5" customHeight="1">
      <c r="A47" s="10"/>
      <c r="B47" s="5"/>
      <c r="C47" s="5"/>
      <c r="D47" s="5"/>
      <c r="E47" s="5"/>
      <c r="F47" s="5"/>
      <c r="G47" s="5"/>
      <c r="H47" s="5"/>
    </row>
    <row r="50" spans="1:1" ht="15.75" customHeight="1">
      <c r="A50" s="4"/>
    </row>
    <row r="52" spans="1:1" ht="15.75" customHeight="1">
      <c r="A52" s="4"/>
    </row>
    <row r="54" spans="1:1" ht="15.75" customHeight="1">
      <c r="A54" s="4"/>
    </row>
    <row r="56" spans="1:1" ht="15.75" customHeight="1">
      <c r="A56" s="4"/>
    </row>
  </sheetData>
  <phoneticPr fontId="6" type="noConversion"/>
  <pageMargins left="0.7" right="0.7" top="0.78740157499999996" bottom="0.78740157499999996" header="0.3" footer="0.3"/>
  <pageSetup orientation="portrait" r:id="rId1"/>
  <ignoredErrors>
    <ignoredError sqref="I5:I7 I19 I15 I10" twoDigitTextYear="1"/>
    <ignoredError sqref="F19 F15 F13 F6 F24" 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4A6515-3C09-47CC-B0A5-2DE33CEBC81B}">
  <dimension ref="A1:N56"/>
  <sheetViews>
    <sheetView tabSelected="1" workbookViewId="0">
      <selection activeCell="N26" sqref="A1:N26"/>
    </sheetView>
  </sheetViews>
  <sheetFormatPr baseColWidth="10" defaultColWidth="12.6328125" defaultRowHeight="12.5"/>
  <cols>
    <col min="1" max="1" width="20.7265625" customWidth="1"/>
    <col min="2" max="2" width="48.54296875" customWidth="1"/>
    <col min="3" max="3" width="19.6328125" customWidth="1"/>
    <col min="4" max="4" width="20.7265625" customWidth="1"/>
    <col min="5" max="5" width="23.54296875" customWidth="1"/>
    <col min="6" max="6" width="20.26953125" customWidth="1"/>
    <col min="7" max="7" width="23.08984375" customWidth="1"/>
    <col min="8" max="8" width="14.453125" customWidth="1"/>
    <col min="9" max="9" width="17.90625" customWidth="1"/>
    <col min="10" max="10" width="22.1796875" customWidth="1"/>
    <col min="11" max="11" width="25.90625" customWidth="1"/>
    <col min="12" max="12" width="28.54296875" customWidth="1"/>
    <col min="13" max="13" width="30.90625" customWidth="1"/>
    <col min="14" max="14" width="22.453125" customWidth="1"/>
  </cols>
  <sheetData>
    <row r="1" spans="1:14" s="23" customFormat="1" ht="15.5" customHeight="1">
      <c r="A1" s="22" t="s">
        <v>0</v>
      </c>
      <c r="B1" s="22" t="s">
        <v>1</v>
      </c>
      <c r="C1" s="22" t="s">
        <v>36</v>
      </c>
      <c r="D1" s="22" t="s">
        <v>37</v>
      </c>
      <c r="E1" s="22" t="s">
        <v>4</v>
      </c>
      <c r="F1" s="22" t="s">
        <v>95</v>
      </c>
      <c r="G1" s="22" t="s">
        <v>13</v>
      </c>
      <c r="H1" s="22" t="s">
        <v>99</v>
      </c>
      <c r="I1" s="22" t="s">
        <v>100</v>
      </c>
      <c r="J1" s="22" t="s">
        <v>101</v>
      </c>
      <c r="K1" s="22" t="s">
        <v>108</v>
      </c>
      <c r="L1" s="22" t="s">
        <v>102</v>
      </c>
      <c r="M1" s="22" t="s">
        <v>103</v>
      </c>
      <c r="N1" s="22" t="s">
        <v>105</v>
      </c>
    </row>
    <row r="2" spans="1:14" ht="15.75" customHeight="1">
      <c r="A2" s="2" t="s">
        <v>26</v>
      </c>
      <c r="B2" s="19" t="s">
        <v>75</v>
      </c>
      <c r="C2" s="19" t="s">
        <v>56</v>
      </c>
      <c r="D2" s="4" t="s">
        <v>68</v>
      </c>
      <c r="E2" s="7" t="s">
        <v>2</v>
      </c>
      <c r="F2" s="7">
        <f>AVERAGE(80,120)</f>
        <v>100</v>
      </c>
      <c r="G2" s="7">
        <v>4.7</v>
      </c>
      <c r="H2" s="13" t="s">
        <v>15</v>
      </c>
      <c r="I2" s="20">
        <f>AVERAGE(4,6)</f>
        <v>5</v>
      </c>
      <c r="J2" s="7">
        <v>50</v>
      </c>
      <c r="K2" s="7">
        <f>J2</f>
        <v>50</v>
      </c>
      <c r="L2" s="8" t="s">
        <v>29</v>
      </c>
      <c r="M2" s="8">
        <f>AVERAGE(250,400)</f>
        <v>325</v>
      </c>
      <c r="N2" s="7">
        <v>3</v>
      </c>
    </row>
    <row r="3" spans="1:14" ht="15.5" customHeight="1">
      <c r="A3" s="2" t="s">
        <v>26</v>
      </c>
      <c r="B3" s="19" t="s">
        <v>76</v>
      </c>
      <c r="C3" s="19" t="s">
        <v>56</v>
      </c>
      <c r="D3" s="4" t="s">
        <v>68</v>
      </c>
      <c r="E3" s="7" t="s">
        <v>2</v>
      </c>
      <c r="F3" s="7">
        <f>AVERAGE(80,120)</f>
        <v>100</v>
      </c>
      <c r="G3" s="7">
        <v>4.4000000000000004</v>
      </c>
      <c r="H3" s="13" t="s">
        <v>15</v>
      </c>
      <c r="I3" s="20">
        <f t="shared" ref="I3:I7" si="0">AVERAGE(4,6)</f>
        <v>5</v>
      </c>
      <c r="J3" s="7">
        <v>50</v>
      </c>
      <c r="K3" s="7">
        <f t="shared" ref="K3:K7" si="1">J3</f>
        <v>50</v>
      </c>
      <c r="L3" s="8" t="s">
        <v>29</v>
      </c>
      <c r="M3" s="8">
        <f t="shared" ref="M3:M7" si="2">AVERAGE(250,400)</f>
        <v>325</v>
      </c>
      <c r="N3" s="7">
        <v>3</v>
      </c>
    </row>
    <row r="4" spans="1:14" ht="15.75" customHeight="1">
      <c r="A4" s="2" t="s">
        <v>26</v>
      </c>
      <c r="B4" s="19" t="s">
        <v>77</v>
      </c>
      <c r="C4" s="19" t="s">
        <v>57</v>
      </c>
      <c r="D4" s="4" t="s">
        <v>69</v>
      </c>
      <c r="E4" s="7" t="s">
        <v>9</v>
      </c>
      <c r="F4" s="7">
        <f>AVERAGE(70,90)</f>
        <v>80</v>
      </c>
      <c r="G4" s="6">
        <v>3.6</v>
      </c>
      <c r="H4" s="13" t="s">
        <v>15</v>
      </c>
      <c r="I4" s="20">
        <f t="shared" si="0"/>
        <v>5</v>
      </c>
      <c r="J4" s="7">
        <v>50</v>
      </c>
      <c r="K4" s="7">
        <f t="shared" si="1"/>
        <v>50</v>
      </c>
      <c r="L4" s="8" t="s">
        <v>29</v>
      </c>
      <c r="M4" s="8">
        <f t="shared" si="2"/>
        <v>325</v>
      </c>
      <c r="N4" s="21">
        <v>2</v>
      </c>
    </row>
    <row r="5" spans="1:14" ht="15.5" customHeight="1">
      <c r="A5" s="2" t="s">
        <v>27</v>
      </c>
      <c r="B5" s="19" t="s">
        <v>78</v>
      </c>
      <c r="C5" s="19" t="s">
        <v>57</v>
      </c>
      <c r="D5" s="4" t="s">
        <v>69</v>
      </c>
      <c r="E5" s="7" t="s">
        <v>3</v>
      </c>
      <c r="F5" s="7">
        <f>AVERAGE(60,100)</f>
        <v>80</v>
      </c>
      <c r="G5" s="6">
        <v>4.4000000000000004</v>
      </c>
      <c r="H5" s="13" t="s">
        <v>17</v>
      </c>
      <c r="I5" s="20">
        <f>AVERAGE(2,4)</f>
        <v>3</v>
      </c>
      <c r="J5" s="7" t="s">
        <v>106</v>
      </c>
      <c r="K5" s="7">
        <f>AVERAGE(30,45)</f>
        <v>37.5</v>
      </c>
      <c r="L5" s="8" t="s">
        <v>30</v>
      </c>
      <c r="M5" s="8">
        <f>AVERAGE(150,250)</f>
        <v>200</v>
      </c>
      <c r="N5" s="7">
        <v>2</v>
      </c>
    </row>
    <row r="6" spans="1:14" ht="15.75" customHeight="1">
      <c r="A6" s="2" t="s">
        <v>26</v>
      </c>
      <c r="B6" s="19" t="s">
        <v>79</v>
      </c>
      <c r="C6" s="19" t="s">
        <v>57</v>
      </c>
      <c r="D6" s="4" t="s">
        <v>69</v>
      </c>
      <c r="E6" s="7" t="s">
        <v>2</v>
      </c>
      <c r="F6" s="7">
        <f>AVERAGE(80,120)</f>
        <v>100</v>
      </c>
      <c r="G6" s="7">
        <v>4</v>
      </c>
      <c r="H6" s="13" t="s">
        <v>15</v>
      </c>
      <c r="I6" s="20">
        <f t="shared" si="0"/>
        <v>5</v>
      </c>
      <c r="J6" s="7">
        <v>50</v>
      </c>
      <c r="K6" s="7">
        <f t="shared" si="1"/>
        <v>50</v>
      </c>
      <c r="L6" s="8" t="s">
        <v>29</v>
      </c>
      <c r="M6" s="8">
        <f t="shared" si="2"/>
        <v>325</v>
      </c>
      <c r="N6" s="7">
        <v>2</v>
      </c>
    </row>
    <row r="7" spans="1:14" ht="14.5">
      <c r="A7" s="2" t="s">
        <v>26</v>
      </c>
      <c r="B7" s="19" t="s">
        <v>80</v>
      </c>
      <c r="C7" s="16" t="s">
        <v>38</v>
      </c>
      <c r="D7" s="17" t="s">
        <v>39</v>
      </c>
      <c r="E7" s="7" t="s">
        <v>3</v>
      </c>
      <c r="F7" s="7">
        <f>AVERAGE(60,100)</f>
        <v>80</v>
      </c>
      <c r="G7" s="7">
        <v>2</v>
      </c>
      <c r="H7" s="13" t="s">
        <v>15</v>
      </c>
      <c r="I7" s="20">
        <f t="shared" si="0"/>
        <v>5</v>
      </c>
      <c r="J7" s="7">
        <v>50</v>
      </c>
      <c r="K7" s="7">
        <f t="shared" si="1"/>
        <v>50</v>
      </c>
      <c r="L7" s="8" t="s">
        <v>29</v>
      </c>
      <c r="M7" s="8">
        <f t="shared" si="2"/>
        <v>325</v>
      </c>
      <c r="N7" s="7">
        <v>2</v>
      </c>
    </row>
    <row r="8" spans="1:14" ht="15.5" customHeight="1">
      <c r="A8" s="2" t="s">
        <v>27</v>
      </c>
      <c r="B8" s="19" t="s">
        <v>81</v>
      </c>
      <c r="C8" s="19" t="s">
        <v>109</v>
      </c>
      <c r="D8" s="4" t="s">
        <v>70</v>
      </c>
      <c r="E8" s="7" t="s">
        <v>10</v>
      </c>
      <c r="F8" s="7">
        <f>AVERAGE(60,80)</f>
        <v>70</v>
      </c>
      <c r="G8" s="7">
        <v>1.4</v>
      </c>
      <c r="H8" s="13" t="s">
        <v>17</v>
      </c>
      <c r="I8" s="20">
        <f>AVERAGE(2,4)</f>
        <v>3</v>
      </c>
      <c r="J8" s="7" t="s">
        <v>106</v>
      </c>
      <c r="K8" s="7">
        <f>AVERAGE(30,45)</f>
        <v>37.5</v>
      </c>
      <c r="L8" s="8" t="s">
        <v>30</v>
      </c>
      <c r="M8" s="8">
        <f>AVERAGE(150,250)</f>
        <v>200</v>
      </c>
      <c r="N8" s="7">
        <v>2</v>
      </c>
    </row>
    <row r="9" spans="1:14" ht="15.5" customHeight="1">
      <c r="A9" s="2" t="s">
        <v>27</v>
      </c>
      <c r="B9" s="19" t="s">
        <v>82</v>
      </c>
      <c r="C9" s="16" t="s">
        <v>40</v>
      </c>
      <c r="D9" s="17" t="s">
        <v>41</v>
      </c>
      <c r="E9" s="7" t="s">
        <v>12</v>
      </c>
      <c r="F9" s="7">
        <f>AVERAGE(60,90)</f>
        <v>75</v>
      </c>
      <c r="G9" s="7">
        <v>3</v>
      </c>
      <c r="H9" s="13" t="s">
        <v>17</v>
      </c>
      <c r="I9" s="20">
        <f t="shared" ref="I9:I16" si="3">AVERAGE(2,4)</f>
        <v>3</v>
      </c>
      <c r="J9" s="7" t="s">
        <v>106</v>
      </c>
      <c r="K9" s="7">
        <f>AVERAGE(30,45)</f>
        <v>37.5</v>
      </c>
      <c r="L9" s="8" t="s">
        <v>30</v>
      </c>
      <c r="M9" s="8">
        <f>AVERAGE(150,250)</f>
        <v>200</v>
      </c>
      <c r="N9" s="7">
        <v>1</v>
      </c>
    </row>
    <row r="10" spans="1:14" ht="15.5" customHeight="1">
      <c r="A10" s="2" t="s">
        <v>27</v>
      </c>
      <c r="B10" s="19" t="s">
        <v>31</v>
      </c>
      <c r="C10" s="16" t="s">
        <v>43</v>
      </c>
      <c r="D10" s="17" t="s">
        <v>44</v>
      </c>
      <c r="E10" s="7" t="s">
        <v>2</v>
      </c>
      <c r="F10" s="7">
        <f t="shared" ref="F10" si="4">AVERAGE(80,120)</f>
        <v>100</v>
      </c>
      <c r="G10" s="7">
        <v>2.5</v>
      </c>
      <c r="H10" s="13" t="s">
        <v>17</v>
      </c>
      <c r="I10" s="20">
        <f t="shared" si="3"/>
        <v>3</v>
      </c>
      <c r="J10" s="7" t="s">
        <v>106</v>
      </c>
      <c r="K10" s="7">
        <f>AVERAGE(30,45)</f>
        <v>37.5</v>
      </c>
      <c r="L10" s="8" t="s">
        <v>30</v>
      </c>
      <c r="M10" s="8">
        <f>AVERAGE(150,250)</f>
        <v>200</v>
      </c>
      <c r="N10" s="7">
        <v>3</v>
      </c>
    </row>
    <row r="11" spans="1:14" ht="15.5" customHeight="1">
      <c r="A11" s="2" t="s">
        <v>27</v>
      </c>
      <c r="B11" s="19" t="s">
        <v>32</v>
      </c>
      <c r="C11" s="16" t="s">
        <v>45</v>
      </c>
      <c r="D11" s="17" t="s">
        <v>41</v>
      </c>
      <c r="E11" s="7" t="s">
        <v>3</v>
      </c>
      <c r="F11" s="7">
        <f>AVERAGE(60,100)</f>
        <v>80</v>
      </c>
      <c r="G11" s="7">
        <v>2.4</v>
      </c>
      <c r="H11" s="13" t="s">
        <v>17</v>
      </c>
      <c r="I11" s="20">
        <f t="shared" si="3"/>
        <v>3</v>
      </c>
      <c r="J11" s="7" t="s">
        <v>106</v>
      </c>
      <c r="K11" s="7">
        <f>AVERAGE(30,45)</f>
        <v>37.5</v>
      </c>
      <c r="L11" s="8" t="s">
        <v>30</v>
      </c>
      <c r="M11" s="8">
        <f>AVERAGE(150,250)</f>
        <v>200</v>
      </c>
      <c r="N11" s="7">
        <v>2</v>
      </c>
    </row>
    <row r="12" spans="1:14" ht="15.5" customHeight="1">
      <c r="A12" s="2" t="s">
        <v>27</v>
      </c>
      <c r="B12" s="19" t="s">
        <v>33</v>
      </c>
      <c r="C12" s="16" t="s">
        <v>46</v>
      </c>
      <c r="D12" s="17" t="s">
        <v>47</v>
      </c>
      <c r="E12" s="7" t="s">
        <v>3</v>
      </c>
      <c r="F12" s="7">
        <f>AVERAGE(60,100)</f>
        <v>80</v>
      </c>
      <c r="G12" s="7">
        <v>2</v>
      </c>
      <c r="H12" s="13" t="s">
        <v>49</v>
      </c>
      <c r="I12" s="20">
        <f t="shared" si="3"/>
        <v>3</v>
      </c>
      <c r="J12" s="7" t="s">
        <v>106</v>
      </c>
      <c r="K12" s="7">
        <f>AVERAGE(30,45)</f>
        <v>37.5</v>
      </c>
      <c r="L12" s="8" t="s">
        <v>30</v>
      </c>
      <c r="M12" s="8">
        <f>AVERAGE(150,250)</f>
        <v>200</v>
      </c>
      <c r="N12" s="7">
        <v>3</v>
      </c>
    </row>
    <row r="13" spans="1:14" ht="15" customHeight="1">
      <c r="A13" s="2" t="s">
        <v>28</v>
      </c>
      <c r="B13" s="19" t="s">
        <v>83</v>
      </c>
      <c r="C13" s="19" t="s">
        <v>58</v>
      </c>
      <c r="D13" s="4" t="s">
        <v>44</v>
      </c>
      <c r="E13" s="7" t="s">
        <v>2</v>
      </c>
      <c r="F13" s="7">
        <f>AVERAGE(80,120)</f>
        <v>100</v>
      </c>
      <c r="G13" s="6">
        <v>2.2999999999999998</v>
      </c>
      <c r="H13" s="13" t="s">
        <v>18</v>
      </c>
      <c r="I13" s="20">
        <f>AVERAGE(1,2)</f>
        <v>1.5</v>
      </c>
      <c r="J13" s="7" t="s">
        <v>107</v>
      </c>
      <c r="K13" s="7">
        <f>AVERAGE(20,35)</f>
        <v>27.5</v>
      </c>
      <c r="L13" s="8" t="s">
        <v>5</v>
      </c>
      <c r="M13" s="8">
        <f>AVERAGE(80,150)</f>
        <v>115</v>
      </c>
      <c r="N13" s="21">
        <v>3</v>
      </c>
    </row>
    <row r="14" spans="1:14" ht="15.75" customHeight="1">
      <c r="A14" s="2" t="s">
        <v>28</v>
      </c>
      <c r="B14" s="19" t="s">
        <v>84</v>
      </c>
      <c r="C14" s="19" t="s">
        <v>59</v>
      </c>
      <c r="D14" s="17" t="s">
        <v>41</v>
      </c>
      <c r="E14" s="7" t="s">
        <v>3</v>
      </c>
      <c r="F14" s="7">
        <f>AVERAGE(60,100)</f>
        <v>80</v>
      </c>
      <c r="G14" s="6">
        <v>4.3</v>
      </c>
      <c r="H14" s="13" t="s">
        <v>18</v>
      </c>
      <c r="I14" s="20">
        <f>AVERAGE(1,2)</f>
        <v>1.5</v>
      </c>
      <c r="J14" s="7" t="s">
        <v>107</v>
      </c>
      <c r="K14" s="7">
        <f>AVERAGE(20,35)</f>
        <v>27.5</v>
      </c>
      <c r="L14" s="8" t="s">
        <v>5</v>
      </c>
      <c r="M14" s="8">
        <f>AVERAGE(80,150)</f>
        <v>115</v>
      </c>
      <c r="N14" s="21">
        <v>2</v>
      </c>
    </row>
    <row r="15" spans="1:14" ht="15.75" customHeight="1">
      <c r="A15" s="1" t="s">
        <v>27</v>
      </c>
      <c r="B15" s="19" t="s">
        <v>85</v>
      </c>
      <c r="C15" s="19" t="s">
        <v>60</v>
      </c>
      <c r="D15" s="4" t="s">
        <v>71</v>
      </c>
      <c r="E15" s="7" t="s">
        <v>11</v>
      </c>
      <c r="F15" s="7">
        <f>AVERAGE(70,100)</f>
        <v>85</v>
      </c>
      <c r="G15" s="7">
        <v>2.2000000000000002</v>
      </c>
      <c r="H15" s="13" t="s">
        <v>17</v>
      </c>
      <c r="I15" s="20">
        <f t="shared" si="3"/>
        <v>3</v>
      </c>
      <c r="J15" s="7" t="s">
        <v>106</v>
      </c>
      <c r="K15" s="7">
        <f>AVERAGE(30,45)</f>
        <v>37.5</v>
      </c>
      <c r="L15" s="8" t="s">
        <v>30</v>
      </c>
      <c r="M15" s="8">
        <f>AVERAGE(150,250)</f>
        <v>200</v>
      </c>
      <c r="N15" s="7">
        <v>2</v>
      </c>
    </row>
    <row r="16" spans="1:14" ht="15.75" customHeight="1">
      <c r="A16" s="1" t="s">
        <v>27</v>
      </c>
      <c r="B16" s="19" t="s">
        <v>86</v>
      </c>
      <c r="C16" s="19" t="s">
        <v>61</v>
      </c>
      <c r="D16" s="4" t="s">
        <v>72</v>
      </c>
      <c r="E16" s="7" t="s">
        <v>3</v>
      </c>
      <c r="F16" s="7">
        <f>AVERAGE(60,100)</f>
        <v>80</v>
      </c>
      <c r="G16" s="7">
        <v>2.4</v>
      </c>
      <c r="H16" s="13" t="s">
        <v>17</v>
      </c>
      <c r="I16" s="20">
        <f t="shared" si="3"/>
        <v>3</v>
      </c>
      <c r="J16" s="7" t="s">
        <v>106</v>
      </c>
      <c r="K16" s="7">
        <f>AVERAGE(30,45)</f>
        <v>37.5</v>
      </c>
      <c r="L16" s="8" t="s">
        <v>30</v>
      </c>
      <c r="M16" s="8">
        <f>AVERAGE(150,250)</f>
        <v>200</v>
      </c>
      <c r="N16" s="7">
        <v>3</v>
      </c>
    </row>
    <row r="17" spans="1:14" ht="15.75" customHeight="1">
      <c r="A17" s="3" t="s">
        <v>28</v>
      </c>
      <c r="B17" s="19" t="s">
        <v>87</v>
      </c>
      <c r="C17" s="19" t="s">
        <v>62</v>
      </c>
      <c r="D17" s="4" t="s">
        <v>51</v>
      </c>
      <c r="E17" s="7" t="s">
        <v>12</v>
      </c>
      <c r="F17" s="7">
        <f>AVERAGE(60,90)</f>
        <v>75</v>
      </c>
      <c r="G17" s="7">
        <v>4.0999999999999996</v>
      </c>
      <c r="H17" s="13" t="s">
        <v>18</v>
      </c>
      <c r="I17" s="20">
        <f>AVERAGE(1,2)</f>
        <v>1.5</v>
      </c>
      <c r="J17" s="7" t="s">
        <v>107</v>
      </c>
      <c r="K17" s="7">
        <f>AVERAGE(20,35)</f>
        <v>27.5</v>
      </c>
      <c r="L17" s="7" t="s">
        <v>5</v>
      </c>
      <c r="M17" s="8">
        <f>AVERAGE(80,150)</f>
        <v>115</v>
      </c>
      <c r="N17" s="21">
        <v>2</v>
      </c>
    </row>
    <row r="18" spans="1:14" ht="13">
      <c r="A18" s="3" t="s">
        <v>28</v>
      </c>
      <c r="B18" s="19" t="s">
        <v>88</v>
      </c>
      <c r="C18" s="19" t="s">
        <v>62</v>
      </c>
      <c r="D18" s="4" t="s">
        <v>51</v>
      </c>
      <c r="E18" s="7" t="s">
        <v>11</v>
      </c>
      <c r="F18" s="7">
        <f>AVERAGE(70,100)</f>
        <v>85</v>
      </c>
      <c r="G18" s="7">
        <v>3.1</v>
      </c>
      <c r="H18" s="13" t="s">
        <v>18</v>
      </c>
      <c r="I18" s="20">
        <f>AVERAGE(1,2)</f>
        <v>1.5</v>
      </c>
      <c r="J18" s="7" t="s">
        <v>107</v>
      </c>
      <c r="K18" s="7">
        <f>AVERAGE(20,35)</f>
        <v>27.5</v>
      </c>
      <c r="L18" s="7" t="s">
        <v>5</v>
      </c>
      <c r="M18" s="8">
        <f>AVERAGE(80,150)</f>
        <v>115</v>
      </c>
      <c r="N18" s="21">
        <v>2</v>
      </c>
    </row>
    <row r="19" spans="1:14" ht="15.75" customHeight="1">
      <c r="A19" s="1" t="s">
        <v>27</v>
      </c>
      <c r="B19" s="19" t="s">
        <v>89</v>
      </c>
      <c r="C19" s="19" t="s">
        <v>63</v>
      </c>
      <c r="D19" s="4" t="s">
        <v>73</v>
      </c>
      <c r="E19" s="7" t="s">
        <v>3</v>
      </c>
      <c r="F19" s="7">
        <f>AVERAGE(60,100)</f>
        <v>80</v>
      </c>
      <c r="G19" s="7">
        <v>1.9</v>
      </c>
      <c r="H19" s="13" t="s">
        <v>17</v>
      </c>
      <c r="I19" s="20">
        <f t="shared" ref="I19:I20" si="5">AVERAGE(2,4)</f>
        <v>3</v>
      </c>
      <c r="J19" s="7" t="s">
        <v>106</v>
      </c>
      <c r="K19" s="7">
        <f>AVERAGE(30,45)</f>
        <v>37.5</v>
      </c>
      <c r="L19" s="8" t="s">
        <v>30</v>
      </c>
      <c r="M19" s="8">
        <f>AVERAGE(150,250)</f>
        <v>200</v>
      </c>
      <c r="N19" s="7">
        <v>2</v>
      </c>
    </row>
    <row r="20" spans="1:14" ht="15.75" customHeight="1">
      <c r="A20" s="3" t="s">
        <v>27</v>
      </c>
      <c r="B20" s="19" t="s">
        <v>90</v>
      </c>
      <c r="C20" s="19" t="s">
        <v>64</v>
      </c>
      <c r="D20" s="4" t="s">
        <v>74</v>
      </c>
      <c r="E20" s="7" t="s">
        <v>11</v>
      </c>
      <c r="F20" s="7">
        <f>AVERAGE(70,100)</f>
        <v>85</v>
      </c>
      <c r="G20" s="7">
        <v>2.7</v>
      </c>
      <c r="H20" s="13" t="s">
        <v>17</v>
      </c>
      <c r="I20" s="20">
        <f t="shared" si="5"/>
        <v>3</v>
      </c>
      <c r="J20" s="7" t="s">
        <v>106</v>
      </c>
      <c r="K20" s="7">
        <f>AVERAGE(30,45)</f>
        <v>37.5</v>
      </c>
      <c r="L20" s="8" t="s">
        <v>30</v>
      </c>
      <c r="M20" s="8">
        <f>AVERAGE(150,250)</f>
        <v>200</v>
      </c>
      <c r="N20" s="7">
        <v>3</v>
      </c>
    </row>
    <row r="21" spans="1:14" ht="15.75" customHeight="1">
      <c r="A21" s="3" t="s">
        <v>28</v>
      </c>
      <c r="B21" s="19" t="s">
        <v>91</v>
      </c>
      <c r="C21" s="19" t="s">
        <v>65</v>
      </c>
      <c r="D21" s="17" t="s">
        <v>51</v>
      </c>
      <c r="E21" s="7" t="s">
        <v>6</v>
      </c>
      <c r="F21" s="7">
        <f>AVERAGE(50,80)</f>
        <v>65</v>
      </c>
      <c r="G21" s="7">
        <v>4.0999999999999996</v>
      </c>
      <c r="H21" s="13" t="s">
        <v>18</v>
      </c>
      <c r="I21" s="20">
        <f>AVERAGE(1,2)</f>
        <v>1.5</v>
      </c>
      <c r="J21" s="7" t="s">
        <v>107</v>
      </c>
      <c r="K21" s="7">
        <f>AVERAGE(20,35)</f>
        <v>27.5</v>
      </c>
      <c r="L21" s="8" t="s">
        <v>5</v>
      </c>
      <c r="M21" s="8">
        <f>AVERAGE(80,150)</f>
        <v>115</v>
      </c>
      <c r="N21" s="7">
        <v>2</v>
      </c>
    </row>
    <row r="22" spans="1:14" ht="15.75" customHeight="1">
      <c r="A22" s="3" t="s">
        <v>28</v>
      </c>
      <c r="B22" s="19" t="s">
        <v>92</v>
      </c>
      <c r="C22" s="19" t="s">
        <v>66</v>
      </c>
      <c r="D22" s="17" t="s">
        <v>51</v>
      </c>
      <c r="E22" s="7" t="s">
        <v>3</v>
      </c>
      <c r="F22" s="7">
        <f>AVERAGE(60,100)</f>
        <v>80</v>
      </c>
      <c r="G22" s="7">
        <v>2.8</v>
      </c>
      <c r="H22" s="13" t="s">
        <v>18</v>
      </c>
      <c r="I22" s="20">
        <f>AVERAGE(1,2)</f>
        <v>1.5</v>
      </c>
      <c r="J22" s="7" t="s">
        <v>107</v>
      </c>
      <c r="K22" s="7">
        <f>AVERAGE(20,35)</f>
        <v>27.5</v>
      </c>
      <c r="L22" s="7" t="s">
        <v>5</v>
      </c>
      <c r="M22" s="8">
        <f>AVERAGE(80,150)</f>
        <v>115</v>
      </c>
      <c r="N22" s="7">
        <v>1</v>
      </c>
    </row>
    <row r="23" spans="1:14" ht="15.75" customHeight="1">
      <c r="A23" s="3" t="s">
        <v>27</v>
      </c>
      <c r="B23" s="19" t="s">
        <v>93</v>
      </c>
      <c r="C23" s="19" t="s">
        <v>67</v>
      </c>
      <c r="D23" s="4" t="s">
        <v>72</v>
      </c>
      <c r="E23" s="7" t="s">
        <v>3</v>
      </c>
      <c r="F23" s="7">
        <f>AVERAGE(60,100)</f>
        <v>80</v>
      </c>
      <c r="G23" s="7">
        <v>2.4</v>
      </c>
      <c r="H23" s="13" t="s">
        <v>17</v>
      </c>
      <c r="I23" s="20">
        <f t="shared" ref="I23" si="6">AVERAGE(2,4)</f>
        <v>3</v>
      </c>
      <c r="J23" s="7" t="s">
        <v>106</v>
      </c>
      <c r="K23" s="7">
        <f>AVERAGE(30,45)</f>
        <v>37.5</v>
      </c>
      <c r="L23" s="7" t="s">
        <v>30</v>
      </c>
      <c r="M23" s="8">
        <f>AVERAGE(150,250)</f>
        <v>200</v>
      </c>
      <c r="N23" s="21">
        <v>2</v>
      </c>
    </row>
    <row r="24" spans="1:14" ht="15.75" customHeight="1">
      <c r="A24" s="3" t="s">
        <v>28</v>
      </c>
      <c r="B24" s="19" t="s">
        <v>34</v>
      </c>
      <c r="C24" s="16" t="s">
        <v>50</v>
      </c>
      <c r="D24" s="17" t="s">
        <v>51</v>
      </c>
      <c r="E24" s="7" t="s">
        <v>110</v>
      </c>
      <c r="F24" s="7">
        <f>AVERAGE(40,60)</f>
        <v>50</v>
      </c>
      <c r="G24" s="7">
        <v>4.5</v>
      </c>
      <c r="H24" s="13" t="s">
        <v>18</v>
      </c>
      <c r="I24" s="20">
        <f>AVERAGE(1,2)</f>
        <v>1.5</v>
      </c>
      <c r="J24" s="7" t="s">
        <v>107</v>
      </c>
      <c r="K24" s="7">
        <f>AVERAGE(20,35)</f>
        <v>27.5</v>
      </c>
      <c r="L24" s="7" t="s">
        <v>5</v>
      </c>
      <c r="M24" s="8">
        <f>AVERAGE(80,150)</f>
        <v>115</v>
      </c>
      <c r="N24" s="21">
        <v>1</v>
      </c>
    </row>
    <row r="25" spans="1:14" ht="15.75" customHeight="1">
      <c r="A25" s="3" t="s">
        <v>28</v>
      </c>
      <c r="B25" s="19" t="s">
        <v>35</v>
      </c>
      <c r="C25" s="16" t="s">
        <v>53</v>
      </c>
      <c r="D25" s="17" t="s">
        <v>54</v>
      </c>
      <c r="E25" s="7" t="s">
        <v>3</v>
      </c>
      <c r="F25" s="7">
        <f>AVERAGE(60,100)</f>
        <v>80</v>
      </c>
      <c r="G25" s="7">
        <v>4</v>
      </c>
      <c r="H25" s="13" t="s">
        <v>18</v>
      </c>
      <c r="I25" s="20">
        <f>AVERAGE(1,2)</f>
        <v>1.5</v>
      </c>
      <c r="J25" s="7" t="s">
        <v>107</v>
      </c>
      <c r="K25" s="7">
        <f>AVERAGE(20,35)</f>
        <v>27.5</v>
      </c>
      <c r="L25" s="7" t="s">
        <v>5</v>
      </c>
      <c r="M25" s="8">
        <f>AVERAGE(80,150)</f>
        <v>115</v>
      </c>
      <c r="N25" s="21">
        <v>3</v>
      </c>
    </row>
    <row r="26" spans="1:14" ht="15.75" customHeight="1">
      <c r="A26" s="3" t="s">
        <v>28</v>
      </c>
      <c r="B26" s="19" t="s">
        <v>94</v>
      </c>
      <c r="C26" s="16" t="s">
        <v>55</v>
      </c>
      <c r="D26" s="17" t="s">
        <v>51</v>
      </c>
      <c r="E26" s="7" t="s">
        <v>6</v>
      </c>
      <c r="F26" s="7">
        <f>AVERAGE(50,80)</f>
        <v>65</v>
      </c>
      <c r="G26" s="7">
        <v>2</v>
      </c>
      <c r="H26" s="13" t="s">
        <v>18</v>
      </c>
      <c r="I26" s="20">
        <f>AVERAGE(1,2)</f>
        <v>1.5</v>
      </c>
      <c r="J26" s="7" t="s">
        <v>107</v>
      </c>
      <c r="K26" s="7">
        <f>AVERAGE(20,35)</f>
        <v>27.5</v>
      </c>
      <c r="L26" s="7" t="s">
        <v>5</v>
      </c>
      <c r="M26" s="8">
        <f>AVERAGE(80,150)</f>
        <v>115</v>
      </c>
      <c r="N26" s="21">
        <v>2</v>
      </c>
    </row>
    <row r="29" spans="1:14" ht="85" customHeight="1">
      <c r="A29" s="14"/>
      <c r="B29" s="18"/>
      <c r="C29" s="15"/>
      <c r="D29" s="15"/>
    </row>
    <row r="30" spans="1:14" ht="105" customHeight="1">
      <c r="A30" s="12"/>
      <c r="B30" s="11"/>
      <c r="C30" s="11"/>
      <c r="D30" s="11"/>
    </row>
    <row r="31" spans="1:14" ht="260" customHeight="1">
      <c r="A31" s="12"/>
      <c r="B31" s="11"/>
      <c r="C31" s="11"/>
      <c r="D31" s="11"/>
    </row>
    <row r="32" spans="1:14" ht="13">
      <c r="A32" s="12"/>
      <c r="B32" s="11"/>
      <c r="C32" s="11"/>
      <c r="D32" s="11"/>
    </row>
    <row r="33" spans="1:6" ht="112" customHeight="1">
      <c r="A33" s="12"/>
      <c r="B33" s="11"/>
      <c r="C33" s="11"/>
      <c r="D33" s="11"/>
    </row>
    <row r="34" spans="1:6" ht="104" customHeight="1">
      <c r="A34" s="12"/>
      <c r="B34" s="11"/>
      <c r="C34" s="11"/>
      <c r="D34" s="11"/>
    </row>
    <row r="35" spans="1:6" ht="178.5" customHeight="1">
      <c r="A35" s="12"/>
      <c r="B35" s="11"/>
      <c r="C35" s="11"/>
      <c r="D35" s="11"/>
    </row>
    <row r="36" spans="1:6" ht="166" customHeight="1">
      <c r="A36" s="12"/>
      <c r="B36" s="11"/>
      <c r="C36" s="11"/>
      <c r="D36" s="11"/>
    </row>
    <row r="37" spans="1:6" ht="264.5" customHeight="1">
      <c r="A37" s="12"/>
      <c r="B37" s="11"/>
      <c r="C37" s="11"/>
      <c r="D37" s="11"/>
    </row>
    <row r="38" spans="1:6" ht="97" customHeight="1">
      <c r="A38" s="12"/>
      <c r="B38" s="11"/>
      <c r="C38" s="11"/>
      <c r="D38" s="11"/>
    </row>
    <row r="39" spans="1:6" ht="13">
      <c r="A39" s="12"/>
      <c r="B39" s="11"/>
      <c r="C39" s="11"/>
      <c r="D39" s="11"/>
    </row>
    <row r="40" spans="1:6" ht="320.5" customHeight="1">
      <c r="A40" s="12"/>
      <c r="B40" s="18"/>
      <c r="C40" s="15"/>
      <c r="D40" s="15"/>
    </row>
    <row r="41" spans="1:6" ht="13">
      <c r="A41" s="12"/>
      <c r="B41" s="11"/>
      <c r="C41" s="11"/>
      <c r="D41" s="11"/>
    </row>
    <row r="44" spans="1:6" ht="13">
      <c r="A44" s="9"/>
      <c r="B44" s="9"/>
      <c r="C44" s="9"/>
      <c r="D44" s="9"/>
      <c r="E44" s="9"/>
      <c r="F44" s="9"/>
    </row>
    <row r="45" spans="1:6" ht="40.5" customHeight="1">
      <c r="A45" s="10"/>
      <c r="B45" s="5"/>
      <c r="C45" s="5"/>
      <c r="D45" s="5"/>
      <c r="E45" s="5"/>
      <c r="F45" s="5"/>
    </row>
    <row r="46" spans="1:6" ht="55.5" customHeight="1">
      <c r="A46" s="10"/>
      <c r="B46" s="5"/>
      <c r="C46" s="5"/>
      <c r="D46" s="5"/>
      <c r="E46" s="5"/>
      <c r="F46" s="5"/>
    </row>
    <row r="47" spans="1:6" ht="41.5" customHeight="1">
      <c r="A47" s="10"/>
      <c r="B47" s="5"/>
      <c r="C47" s="5"/>
      <c r="D47" s="5"/>
      <c r="E47" s="5"/>
      <c r="F47" s="5"/>
    </row>
    <row r="50" spans="1:1" ht="15.75" customHeight="1">
      <c r="A50" s="4"/>
    </row>
    <row r="52" spans="1:1" ht="15.75" customHeight="1">
      <c r="A52" s="4"/>
    </row>
    <row r="54" spans="1:1" ht="15.75" customHeight="1">
      <c r="A54" s="4"/>
    </row>
    <row r="56" spans="1:1" ht="15.75" customHeight="1">
      <c r="A56" s="4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Stammdaten und Aufwand</vt:lpstr>
      <vt:lpstr>Ökologische Leistung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Sarah Pfeiffer</dc:creator>
  <cp:lastModifiedBy>Pfeiffer Sarah (pfeifsar)</cp:lastModifiedBy>
  <dcterms:created xsi:type="dcterms:W3CDTF">2025-10-03T19:05:47Z</dcterms:created>
  <dcterms:modified xsi:type="dcterms:W3CDTF">2025-11-19T17:26:05Z</dcterms:modified>
</cp:coreProperties>
</file>