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zhaw-my.sharepoint.com/personal/pfeifsar_students_zhaw_ch/Documents/6. Semester MSc UnR/Thesis/R_Project/00_data_raw/"/>
    </mc:Choice>
  </mc:AlternateContent>
  <xr:revisionPtr revIDLastSave="1361" documentId="8_{E9D6D6FE-F378-4AF9-A02F-B79ECDA22C50}" xr6:coauthVersionLast="47" xr6:coauthVersionMax="47" xr10:uidLastSave="{EC0D1332-6AAD-4811-B817-50356135186F}"/>
  <bookViews>
    <workbookView xWindow="-110" yWindow="-110" windowWidth="19420" windowHeight="11500" activeTab="1" xr2:uid="{00000000-000D-0000-FFFF-FFFF00000000}"/>
  </bookViews>
  <sheets>
    <sheet name="Ökonomische &amp; Technische Daten" sheetId="2" r:id="rId1"/>
    <sheet name="Ökologische Daten und Kreislauf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3" l="1"/>
  <c r="O11" i="3" s="1"/>
  <c r="E10" i="3"/>
  <c r="O10" i="3" s="1"/>
  <c r="E9" i="3"/>
  <c r="E8" i="3"/>
  <c r="O8" i="3" s="1"/>
  <c r="E7" i="3"/>
  <c r="O7" i="3" s="1"/>
  <c r="E6" i="3"/>
  <c r="O6" i="3" s="1"/>
  <c r="E5" i="3"/>
  <c r="O5" i="3" s="1"/>
  <c r="E4" i="3"/>
  <c r="E3" i="3"/>
  <c r="O3" i="3" s="1"/>
  <c r="E2" i="3"/>
  <c r="O2" i="3" s="1"/>
  <c r="L3" i="2"/>
  <c r="L4" i="2"/>
  <c r="L5" i="2"/>
  <c r="L6" i="2"/>
  <c r="L7" i="2"/>
  <c r="L8" i="2"/>
  <c r="L9" i="2"/>
  <c r="L10" i="2"/>
  <c r="L11" i="2"/>
  <c r="L2" i="2"/>
  <c r="E3" i="2"/>
  <c r="I3" i="2" s="1"/>
  <c r="E4" i="2"/>
  <c r="I4" i="2" s="1"/>
  <c r="E5" i="2"/>
  <c r="E6" i="2"/>
  <c r="I6" i="2" s="1"/>
  <c r="E7" i="2"/>
  <c r="I7" i="2" s="1"/>
  <c r="E8" i="2"/>
  <c r="I8" i="2" s="1"/>
  <c r="E9" i="2"/>
  <c r="I9" i="2" s="1"/>
  <c r="E10" i="2"/>
  <c r="I10" i="2" s="1"/>
  <c r="E11" i="2"/>
  <c r="I11" i="2" s="1"/>
  <c r="E2" i="2"/>
  <c r="I2" i="2" s="1"/>
  <c r="L9" i="3" l="1"/>
  <c r="O9" i="3"/>
  <c r="L4" i="3"/>
  <c r="O4" i="3"/>
  <c r="L2" i="3"/>
  <c r="L7" i="3"/>
  <c r="L5" i="3"/>
  <c r="L10" i="3"/>
  <c r="L3" i="3"/>
  <c r="L8" i="3"/>
  <c r="L6" i="3"/>
  <c r="L11" i="3"/>
  <c r="I5" i="2"/>
</calcChain>
</file>

<file path=xl/sharedStrings.xml><?xml version="1.0" encoding="utf-8"?>
<sst xmlns="http://schemas.openxmlformats.org/spreadsheetml/2006/main" count="131" uniqueCount="73">
  <si>
    <t>Sickerasphalt</t>
  </si>
  <si>
    <t>Heller Asphalt</t>
  </si>
  <si>
    <t>Selbstheilender Asphalt</t>
  </si>
  <si>
    <t>Chaussierung</t>
  </si>
  <si>
    <t>Kiesrasen</t>
  </si>
  <si>
    <t>Rasengittersteine</t>
  </si>
  <si>
    <t>40–50</t>
  </si>
  <si>
    <t>25–35</t>
  </si>
  <si>
    <t>10–20</t>
  </si>
  <si>
    <t>20–30</t>
  </si>
  <si>
    <t>3–5</t>
  </si>
  <si>
    <t>5–8</t>
  </si>
  <si>
    <t>4–6</t>
  </si>
  <si>
    <t>6–8</t>
  </si>
  <si>
    <t>100–120</t>
  </si>
  <si>
    <t>315–385</t>
  </si>
  <si>
    <t>0.3–0.4</t>
  </si>
  <si>
    <t>0.3–0.5</t>
  </si>
  <si>
    <t>Belagsart</t>
  </si>
  <si>
    <t>Asphalt</t>
  </si>
  <si>
    <t>Pflaster</t>
  </si>
  <si>
    <t>Sickerbeläge</t>
  </si>
  <si>
    <t>Belagskategorie</t>
  </si>
  <si>
    <t>Unterhaltskosten [CHF/m²a]</t>
  </si>
  <si>
    <t>Versickerungs-Leistung [ψ]</t>
  </si>
  <si>
    <t>Lebensdauer [a]</t>
  </si>
  <si>
    <t>Lokale Materialien [%]</t>
  </si>
  <si>
    <t>40-45</t>
  </si>
  <si>
    <t>115–160</t>
  </si>
  <si>
    <t>Recyclingasphalt</t>
  </si>
  <si>
    <t>55–56</t>
  </si>
  <si>
    <t>53–55</t>
  </si>
  <si>
    <t>48–50</t>
  </si>
  <si>
    <t>45–48</t>
  </si>
  <si>
    <t>90-110</t>
  </si>
  <si>
    <t>20-25</t>
  </si>
  <si>
    <t>30-40</t>
  </si>
  <si>
    <t>Betonpflastersteine (geschlossen, 2-4 mm Fugen)</t>
  </si>
  <si>
    <t>55-60</t>
  </si>
  <si>
    <t>45-50</t>
  </si>
  <si>
    <t>45-48</t>
  </si>
  <si>
    <t>40-80</t>
  </si>
  <si>
    <t>&lt;40</t>
  </si>
  <si>
    <t>&gt;80</t>
  </si>
  <si>
    <t>Modulare Erneuerbarkeit [0-2]</t>
  </si>
  <si>
    <t>Recyclingfähigkeit [0-2]</t>
  </si>
  <si>
    <t xml:space="preserve">Oberflächentemperatur [°C] </t>
  </si>
  <si>
    <t>CO₂-Emissionen [kg CO₂-eq/m²]</t>
  </si>
  <si>
    <t>Graue Energie [kWh/m²]</t>
  </si>
  <si>
    <t>Lokale Materialien_MW [%]</t>
  </si>
  <si>
    <t>Befahrbarkeit [0-5]</t>
  </si>
  <si>
    <t>Anzahl Erneuerungen [100a]</t>
  </si>
  <si>
    <t>CO₂-Emissionen [kg CO₂-eq/m²100a]</t>
  </si>
  <si>
    <t>Graue Energie [kWh/m²100a]</t>
  </si>
  <si>
    <t>Lebensdauer MW [a]</t>
  </si>
  <si>
    <t>Versickerungs-Leistung MW [ψ]</t>
  </si>
  <si>
    <t xml:space="preserve">Oberflächentemperatur MW [°C] </t>
  </si>
  <si>
    <t>Kosten MW [CHF/m²]</t>
  </si>
  <si>
    <t>Unterhaltskosten MW [CHF/m²a]</t>
  </si>
  <si>
    <t>CO₂-Emissionen MW [kg CO₂-eq/m²]</t>
  </si>
  <si>
    <t>Graue Energie MW [kWh/m²]</t>
  </si>
  <si>
    <t>10-15</t>
  </si>
  <si>
    <t>Natursteinpflaster (sickerfähig, 6-10 mm Fugen)</t>
  </si>
  <si>
    <t>130-160</t>
  </si>
  <si>
    <t>115-145</t>
  </si>
  <si>
    <t>70-90</t>
  </si>
  <si>
    <t>Ökopflastersteine (sickerfähig, 6-10 mm Fugen)</t>
  </si>
  <si>
    <t>400-500</t>
  </si>
  <si>
    <t>65-90</t>
  </si>
  <si>
    <t>110-120</t>
  </si>
  <si>
    <t>Inital-Kosten [CHF/m²]</t>
  </si>
  <si>
    <t>Initial-Kosten [CHF/m²100a]</t>
  </si>
  <si>
    <t>Unterhaltskosen [CHF/m²100a]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</si>
</sst>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1">
    <xf numFmtId="0" fontId="0" fillId="0" borderId="0" xfId="0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/>
    <xf numFmtId="0" fontId="5" fillId="0" borderId="0" xfId="0" applyFont="1" applyAlignment="1">
      <alignment wrapText="1"/>
    </xf>
    <xf numFmtId="49" fontId="3" fillId="0" borderId="0" xfId="0" applyNumberFormat="1" applyFont="1" applyAlignment="1">
      <alignment horizontal="right"/>
    </xf>
  </cellXfs>
  <cellStyles count="3">
    <cellStyle name="Standard" xfId="0" builtinId="0"/>
    <cellStyle name="Standard 2" xfId="1" xr:uid="{FDA4522A-3E82-414C-9853-3CFD80ED64E6}"/>
    <cellStyle name="Standard 3" xfId="2" xr:uid="{A45F0267-2B20-48E9-8853-A94E471E56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45AB7-8A4B-4C00-997D-6D46C1094D77}">
  <dimension ref="A1:BB27"/>
  <sheetViews>
    <sheetView topLeftCell="I1" zoomScale="130" zoomScaleNormal="130" workbookViewId="0">
      <selection activeCell="L3" sqref="L3"/>
    </sheetView>
  </sheetViews>
  <sheetFormatPr baseColWidth="10" defaultColWidth="12.6328125" defaultRowHeight="15.75" customHeight="1" x14ac:dyDescent="0.25"/>
  <cols>
    <col min="1" max="1" width="15.7265625" customWidth="1"/>
    <col min="2" max="2" width="40.6328125" customWidth="1"/>
    <col min="3" max="3" width="15" customWidth="1"/>
    <col min="4" max="4" width="19.36328125" customWidth="1"/>
    <col min="5" max="5" width="25.7265625" customWidth="1"/>
    <col min="6" max="6" width="18.6328125" customWidth="1"/>
    <col min="7" max="7" width="15.08984375" customWidth="1"/>
    <col min="8" max="8" width="19.453125" bestFit="1" customWidth="1"/>
    <col min="9" max="9" width="19.453125" customWidth="1"/>
    <col min="10" max="10" width="24.90625" customWidth="1"/>
    <col min="11" max="11" width="29.26953125" bestFit="1" customWidth="1"/>
    <col min="12" max="12" width="27.26953125" customWidth="1"/>
    <col min="13" max="13" width="29.26953125" customWidth="1"/>
    <col min="14" max="15" width="32.90625" customWidth="1"/>
    <col min="16" max="16" width="22.08984375" customWidth="1"/>
    <col min="17" max="17" width="25.81640625" customWidth="1"/>
    <col min="18" max="18" width="25.7265625" customWidth="1"/>
    <col min="19" max="19" width="21.36328125" customWidth="1"/>
    <col min="20" max="20" width="20.453125" bestFit="1" customWidth="1"/>
    <col min="21" max="21" width="24.6328125" bestFit="1" customWidth="1"/>
    <col min="22" max="22" width="26.54296875" customWidth="1"/>
    <col min="23" max="23" width="59" bestFit="1" customWidth="1"/>
  </cols>
  <sheetData>
    <row r="1" spans="1:54" s="3" customFormat="1" ht="15.75" customHeight="1" x14ac:dyDescent="0.3">
      <c r="A1" s="3" t="s">
        <v>22</v>
      </c>
      <c r="B1" s="4" t="s">
        <v>18</v>
      </c>
      <c r="C1" s="4" t="s">
        <v>25</v>
      </c>
      <c r="D1" s="4" t="s">
        <v>54</v>
      </c>
      <c r="E1" s="4" t="s">
        <v>51</v>
      </c>
      <c r="F1" s="4" t="s">
        <v>50</v>
      </c>
      <c r="G1" s="4" t="s">
        <v>70</v>
      </c>
      <c r="H1" s="4" t="s">
        <v>57</v>
      </c>
      <c r="I1" s="4" t="s">
        <v>71</v>
      </c>
      <c r="J1" s="4" t="s">
        <v>23</v>
      </c>
      <c r="K1" s="4" t="s">
        <v>58</v>
      </c>
      <c r="L1" s="4" t="s">
        <v>72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54" ht="15.75" customHeight="1" x14ac:dyDescent="0.25">
      <c r="A2" s="1" t="s">
        <v>19</v>
      </c>
      <c r="B2" s="1" t="s">
        <v>29</v>
      </c>
      <c r="C2" s="5" t="s">
        <v>35</v>
      </c>
      <c r="D2">
        <v>22.5</v>
      </c>
      <c r="E2">
        <f>ROUNDUP(100/D2,0)</f>
        <v>5</v>
      </c>
      <c r="F2" s="5">
        <v>5</v>
      </c>
      <c r="G2" s="5" t="s">
        <v>34</v>
      </c>
      <c r="H2">
        <v>100</v>
      </c>
      <c r="I2">
        <f>E2*H2</f>
        <v>500</v>
      </c>
      <c r="J2" s="5" t="s">
        <v>10</v>
      </c>
      <c r="K2">
        <v>4</v>
      </c>
      <c r="L2">
        <f>K2*100</f>
        <v>400</v>
      </c>
      <c r="M2" s="7"/>
      <c r="P2" s="5"/>
      <c r="S2" s="5"/>
      <c r="T2" s="5"/>
      <c r="V2" s="5"/>
      <c r="W2" s="2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ht="15.75" customHeight="1" x14ac:dyDescent="0.25">
      <c r="A3" s="1" t="s">
        <v>19</v>
      </c>
      <c r="B3" s="1" t="s">
        <v>0</v>
      </c>
      <c r="C3" s="10" t="s">
        <v>61</v>
      </c>
      <c r="D3">
        <v>12.5</v>
      </c>
      <c r="E3">
        <f t="shared" ref="E3:E11" si="0">ROUNDUP(100/D3,0)</f>
        <v>8</v>
      </c>
      <c r="F3" s="5">
        <v>3</v>
      </c>
      <c r="G3" s="5" t="s">
        <v>69</v>
      </c>
      <c r="H3">
        <v>115</v>
      </c>
      <c r="I3">
        <f>E3*H3</f>
        <v>920</v>
      </c>
      <c r="J3" s="5" t="s">
        <v>11</v>
      </c>
      <c r="K3">
        <v>6.5</v>
      </c>
      <c r="L3">
        <f t="shared" ref="L3:L11" si="1">K3*100</f>
        <v>650</v>
      </c>
      <c r="M3" s="5"/>
      <c r="P3" s="6"/>
      <c r="S3" s="5"/>
      <c r="T3" s="5"/>
      <c r="V3" s="5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 ht="15.75" customHeight="1" x14ac:dyDescent="0.25">
      <c r="A4" s="8" t="s">
        <v>19</v>
      </c>
      <c r="B4" s="1" t="s">
        <v>1</v>
      </c>
      <c r="C4" s="5" t="s">
        <v>35</v>
      </c>
      <c r="D4">
        <v>22.5</v>
      </c>
      <c r="E4">
        <f t="shared" si="0"/>
        <v>5</v>
      </c>
      <c r="F4" s="5">
        <v>5</v>
      </c>
      <c r="G4" s="5" t="s">
        <v>14</v>
      </c>
      <c r="H4">
        <v>110</v>
      </c>
      <c r="I4">
        <f>E4*H4</f>
        <v>550</v>
      </c>
      <c r="J4" s="5" t="s">
        <v>10</v>
      </c>
      <c r="K4">
        <v>4</v>
      </c>
      <c r="L4">
        <f t="shared" si="1"/>
        <v>400</v>
      </c>
      <c r="M4" s="7"/>
      <c r="P4" s="5"/>
      <c r="S4" s="5"/>
      <c r="T4" s="5"/>
      <c r="V4" s="5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spans="1:54" ht="15.75" customHeight="1" x14ac:dyDescent="0.25">
      <c r="A5" s="8" t="s">
        <v>19</v>
      </c>
      <c r="B5" s="1" t="s">
        <v>2</v>
      </c>
      <c r="C5" s="5" t="s">
        <v>27</v>
      </c>
      <c r="D5">
        <v>42.5</v>
      </c>
      <c r="E5">
        <f t="shared" si="0"/>
        <v>3</v>
      </c>
      <c r="F5" s="5">
        <v>5</v>
      </c>
      <c r="G5" s="5" t="s">
        <v>28</v>
      </c>
      <c r="H5">
        <v>138.5</v>
      </c>
      <c r="I5">
        <f>E5*H5</f>
        <v>415.5</v>
      </c>
      <c r="J5" s="5">
        <v>2</v>
      </c>
      <c r="K5">
        <v>2</v>
      </c>
      <c r="L5">
        <f t="shared" si="1"/>
        <v>200</v>
      </c>
      <c r="M5" s="6"/>
      <c r="P5" s="6"/>
      <c r="S5" s="6"/>
      <c r="T5" s="6"/>
      <c r="V5" s="5"/>
      <c r="W5" s="2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4" ht="15.75" customHeight="1" x14ac:dyDescent="0.25">
      <c r="A6" s="8" t="s">
        <v>20</v>
      </c>
      <c r="B6" s="1" t="s">
        <v>62</v>
      </c>
      <c r="C6" s="5" t="s">
        <v>6</v>
      </c>
      <c r="D6">
        <v>45</v>
      </c>
      <c r="E6">
        <f t="shared" si="0"/>
        <v>3</v>
      </c>
      <c r="F6" s="5">
        <v>3</v>
      </c>
      <c r="G6" s="5" t="s">
        <v>15</v>
      </c>
      <c r="H6">
        <v>350</v>
      </c>
      <c r="I6">
        <f>E6*H6</f>
        <v>1050</v>
      </c>
      <c r="J6" s="5" t="s">
        <v>12</v>
      </c>
      <c r="K6">
        <v>5</v>
      </c>
      <c r="L6">
        <f t="shared" si="1"/>
        <v>500</v>
      </c>
      <c r="M6" s="5"/>
      <c r="P6" s="5"/>
      <c r="S6" s="5"/>
      <c r="T6" s="5"/>
      <c r="V6" s="5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4" ht="15.75" customHeight="1" x14ac:dyDescent="0.25">
      <c r="A7" s="8" t="s">
        <v>20</v>
      </c>
      <c r="B7" s="1" t="s">
        <v>37</v>
      </c>
      <c r="C7" s="5" t="s">
        <v>36</v>
      </c>
      <c r="D7">
        <v>35</v>
      </c>
      <c r="E7">
        <f t="shared" si="0"/>
        <v>3</v>
      </c>
      <c r="F7" s="5">
        <v>4</v>
      </c>
      <c r="G7" s="5" t="s">
        <v>64</v>
      </c>
      <c r="H7">
        <v>130</v>
      </c>
      <c r="I7">
        <f>E7*H7</f>
        <v>390</v>
      </c>
      <c r="J7" s="5" t="s">
        <v>12</v>
      </c>
      <c r="K7">
        <v>5</v>
      </c>
      <c r="L7">
        <f t="shared" si="1"/>
        <v>500</v>
      </c>
      <c r="M7" s="5"/>
      <c r="P7" s="5"/>
      <c r="S7" s="5"/>
      <c r="T7" s="5"/>
      <c r="V7" s="5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1:54" ht="15.5" customHeight="1" x14ac:dyDescent="0.25">
      <c r="A8" s="8" t="s">
        <v>20</v>
      </c>
      <c r="B8" s="1" t="s">
        <v>66</v>
      </c>
      <c r="C8" s="5" t="s">
        <v>7</v>
      </c>
      <c r="D8">
        <v>30</v>
      </c>
      <c r="E8">
        <f t="shared" si="0"/>
        <v>4</v>
      </c>
      <c r="F8" s="5">
        <v>3</v>
      </c>
      <c r="G8" s="5" t="s">
        <v>64</v>
      </c>
      <c r="H8">
        <v>125</v>
      </c>
      <c r="I8">
        <f>E8*H8</f>
        <v>500</v>
      </c>
      <c r="J8" s="5" t="s">
        <v>13</v>
      </c>
      <c r="K8">
        <v>7</v>
      </c>
      <c r="L8">
        <f t="shared" si="1"/>
        <v>700</v>
      </c>
      <c r="M8" s="7"/>
      <c r="P8" s="7"/>
      <c r="S8" s="6"/>
      <c r="T8" s="6"/>
      <c r="V8" s="5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54" ht="15.75" customHeight="1" x14ac:dyDescent="0.25">
      <c r="A9" s="8" t="s">
        <v>21</v>
      </c>
      <c r="B9" s="1" t="s">
        <v>3</v>
      </c>
      <c r="C9" s="5" t="s">
        <v>61</v>
      </c>
      <c r="D9">
        <v>12.5</v>
      </c>
      <c r="E9">
        <f t="shared" si="0"/>
        <v>8</v>
      </c>
      <c r="F9" s="5">
        <v>1</v>
      </c>
      <c r="G9" s="5" t="s">
        <v>65</v>
      </c>
      <c r="H9">
        <v>80</v>
      </c>
      <c r="I9">
        <f>E9*H9</f>
        <v>640</v>
      </c>
      <c r="J9" s="5" t="s">
        <v>12</v>
      </c>
      <c r="K9">
        <v>5</v>
      </c>
      <c r="L9">
        <f t="shared" si="1"/>
        <v>500</v>
      </c>
      <c r="M9" s="5"/>
      <c r="P9" s="5"/>
      <c r="S9" s="5"/>
      <c r="T9" s="5"/>
      <c r="V9" s="5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pans="1:54" ht="15.75" customHeight="1" x14ac:dyDescent="0.25">
      <c r="A10" s="8" t="s">
        <v>21</v>
      </c>
      <c r="B10" s="1" t="s">
        <v>4</v>
      </c>
      <c r="C10" s="5" t="s">
        <v>8</v>
      </c>
      <c r="D10">
        <v>15</v>
      </c>
      <c r="E10">
        <f t="shared" si="0"/>
        <v>7</v>
      </c>
      <c r="F10" s="5">
        <v>3</v>
      </c>
      <c r="G10" s="5" t="s">
        <v>34</v>
      </c>
      <c r="H10">
        <v>100</v>
      </c>
      <c r="I10">
        <f>E10*H10</f>
        <v>700</v>
      </c>
      <c r="J10" s="5" t="s">
        <v>12</v>
      </c>
      <c r="K10">
        <v>5</v>
      </c>
      <c r="L10">
        <f t="shared" si="1"/>
        <v>500</v>
      </c>
      <c r="M10" s="7"/>
      <c r="P10" s="7"/>
      <c r="S10" s="5"/>
      <c r="T10" s="5"/>
      <c r="V10" s="5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1" spans="1:54" ht="15.5" customHeight="1" x14ac:dyDescent="0.25">
      <c r="A11" s="1" t="s">
        <v>21</v>
      </c>
      <c r="B11" s="1" t="s">
        <v>5</v>
      </c>
      <c r="C11" s="5" t="s">
        <v>9</v>
      </c>
      <c r="D11">
        <v>25</v>
      </c>
      <c r="E11">
        <f t="shared" si="0"/>
        <v>4</v>
      </c>
      <c r="F11" s="5">
        <v>3</v>
      </c>
      <c r="G11" s="5" t="s">
        <v>63</v>
      </c>
      <c r="H11">
        <v>145</v>
      </c>
      <c r="I11">
        <f>E11*H11</f>
        <v>580</v>
      </c>
      <c r="J11" s="5" t="s">
        <v>13</v>
      </c>
      <c r="K11">
        <v>7</v>
      </c>
      <c r="L11">
        <f t="shared" si="1"/>
        <v>700</v>
      </c>
      <c r="M11" s="7"/>
      <c r="P11" s="7"/>
      <c r="S11" s="5"/>
      <c r="T11" s="5"/>
      <c r="V11" s="5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 spans="1:54" ht="15.75" customHeight="1" x14ac:dyDescent="0.25"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 spans="1:54" ht="15.75" customHeight="1" x14ac:dyDescent="0.25"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spans="1:54" ht="15.75" customHeight="1" x14ac:dyDescent="0.25">
      <c r="B14" s="1"/>
    </row>
    <row r="15" spans="1:54" ht="13" x14ac:dyDescent="0.3">
      <c r="A15" s="3"/>
      <c r="B15" s="9"/>
    </row>
    <row r="16" spans="1:54" ht="130.5" customHeight="1" x14ac:dyDescent="0.3">
      <c r="A16" s="3"/>
      <c r="B16" s="9"/>
    </row>
    <row r="17" spans="1:2" ht="13" x14ac:dyDescent="0.3">
      <c r="A17" s="3"/>
      <c r="B17" s="9"/>
    </row>
    <row r="18" spans="1:2" ht="77" customHeight="1" x14ac:dyDescent="0.3">
      <c r="A18" s="3"/>
      <c r="B18" s="9"/>
    </row>
    <row r="19" spans="1:2" ht="82" customHeight="1" x14ac:dyDescent="0.3">
      <c r="A19" s="3"/>
      <c r="B19" s="9"/>
    </row>
    <row r="20" spans="1:2" ht="34" customHeight="1" x14ac:dyDescent="0.3">
      <c r="A20" s="3"/>
      <c r="B20" s="9"/>
    </row>
    <row r="21" spans="1:2" ht="40" customHeight="1" x14ac:dyDescent="0.3">
      <c r="A21" s="3"/>
      <c r="B21" s="9"/>
    </row>
    <row r="22" spans="1:2" ht="73.5" customHeight="1" x14ac:dyDescent="0.3">
      <c r="A22" s="3"/>
      <c r="B22" s="9"/>
    </row>
    <row r="23" spans="1:2" ht="63.5" customHeight="1" x14ac:dyDescent="0.3">
      <c r="A23" s="3"/>
      <c r="B23" s="9"/>
    </row>
    <row r="24" spans="1:2" ht="167.5" customHeight="1" x14ac:dyDescent="0.3">
      <c r="A24" s="3"/>
      <c r="B24" s="9"/>
    </row>
    <row r="25" spans="1:2" ht="94.5" customHeight="1" x14ac:dyDescent="0.3">
      <c r="A25" s="4"/>
      <c r="B25" s="9"/>
    </row>
    <row r="26" spans="1:2" ht="141.5" customHeight="1" x14ac:dyDescent="0.3">
      <c r="A26" s="3"/>
      <c r="B26" s="9"/>
    </row>
    <row r="27" spans="1:2" ht="87" customHeight="1" x14ac:dyDescent="0.3">
      <c r="A27" s="3"/>
      <c r="B27" s="9"/>
    </row>
  </sheetData>
  <phoneticPr fontId="8" type="noConversion"/>
  <pageMargins left="0.7" right="0.7" top="0.78740157499999996" bottom="0.78740157499999996" header="0.3" footer="0.3"/>
  <pageSetup orientation="portrait" r:id="rId1"/>
  <ignoredErrors>
    <ignoredError sqref="C3 C9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A7BCA-B353-42F8-9383-0330F47B4AD1}">
  <dimension ref="A1:AY27"/>
  <sheetViews>
    <sheetView tabSelected="1" workbookViewId="0">
      <selection activeCell="E15" sqref="E15"/>
    </sheetView>
  </sheetViews>
  <sheetFormatPr baseColWidth="10" defaultColWidth="12.6328125" defaultRowHeight="12.5" x14ac:dyDescent="0.25"/>
  <cols>
    <col min="1" max="1" width="15.7265625" customWidth="1"/>
    <col min="2" max="2" width="40.6328125" customWidth="1"/>
    <col min="3" max="3" width="15" customWidth="1"/>
    <col min="4" max="4" width="19.36328125" customWidth="1"/>
    <col min="5" max="5" width="25.7265625" customWidth="1"/>
    <col min="6" max="6" width="24.6328125" customWidth="1"/>
    <col min="7" max="7" width="28.90625" customWidth="1"/>
    <col min="8" max="8" width="26.90625" customWidth="1"/>
    <col min="9" max="9" width="30.1796875" customWidth="1"/>
    <col min="10" max="10" width="29.26953125" customWidth="1"/>
    <col min="11" max="12" width="32.90625" customWidth="1"/>
    <col min="13" max="13" width="22.08984375" customWidth="1"/>
    <col min="14" max="14" width="25.81640625" customWidth="1"/>
    <col min="15" max="15" width="25.7265625" customWidth="1"/>
    <col min="16" max="16" width="21.36328125" customWidth="1"/>
    <col min="17" max="17" width="20.453125" bestFit="1" customWidth="1"/>
    <col min="18" max="18" width="24.6328125" bestFit="1" customWidth="1"/>
    <col min="19" max="19" width="26.54296875" customWidth="1"/>
    <col min="20" max="20" width="59" bestFit="1" customWidth="1"/>
  </cols>
  <sheetData>
    <row r="1" spans="1:51" s="3" customFormat="1" ht="15.75" customHeight="1" x14ac:dyDescent="0.3">
      <c r="A1" s="3" t="s">
        <v>22</v>
      </c>
      <c r="B1" s="4" t="s">
        <v>18</v>
      </c>
      <c r="C1" s="4" t="s">
        <v>25</v>
      </c>
      <c r="D1" s="4" t="s">
        <v>54</v>
      </c>
      <c r="E1" s="4" t="s">
        <v>51</v>
      </c>
      <c r="F1" s="4" t="s">
        <v>24</v>
      </c>
      <c r="G1" s="4" t="s">
        <v>55</v>
      </c>
      <c r="H1" s="4" t="s">
        <v>46</v>
      </c>
      <c r="I1" s="4" t="s">
        <v>56</v>
      </c>
      <c r="J1" s="4" t="s">
        <v>47</v>
      </c>
      <c r="K1" s="4" t="s">
        <v>59</v>
      </c>
      <c r="L1" s="4" t="s">
        <v>52</v>
      </c>
      <c r="M1" s="4" t="s">
        <v>48</v>
      </c>
      <c r="N1" s="4" t="s">
        <v>60</v>
      </c>
      <c r="O1" s="4" t="s">
        <v>53</v>
      </c>
      <c r="P1" s="4" t="s">
        <v>45</v>
      </c>
      <c r="Q1" s="4" t="s">
        <v>26</v>
      </c>
      <c r="R1" s="4" t="s">
        <v>49</v>
      </c>
      <c r="S1" s="4" t="s">
        <v>44</v>
      </c>
      <c r="T1" s="4"/>
    </row>
    <row r="2" spans="1:51" ht="15.75" customHeight="1" x14ac:dyDescent="0.25">
      <c r="A2" s="1" t="s">
        <v>19</v>
      </c>
      <c r="B2" s="1" t="s">
        <v>29</v>
      </c>
      <c r="C2" s="5" t="s">
        <v>35</v>
      </c>
      <c r="D2">
        <v>22.5</v>
      </c>
      <c r="E2">
        <f>ROUNDUP(100/D2,0)</f>
        <v>5</v>
      </c>
      <c r="F2" s="5">
        <v>1</v>
      </c>
      <c r="G2">
        <v>1</v>
      </c>
      <c r="H2" s="5">
        <v>58.4</v>
      </c>
      <c r="I2">
        <v>58.4</v>
      </c>
      <c r="J2" s="7">
        <v>45</v>
      </c>
      <c r="K2">
        <v>45</v>
      </c>
      <c r="L2">
        <f>E2*K2</f>
        <v>225</v>
      </c>
      <c r="M2" s="5">
        <v>245</v>
      </c>
      <c r="N2">
        <v>245</v>
      </c>
      <c r="O2">
        <f>E2*N2</f>
        <v>1225</v>
      </c>
      <c r="P2" s="5">
        <v>2</v>
      </c>
      <c r="Q2" s="5" t="s">
        <v>41</v>
      </c>
      <c r="R2">
        <v>0.6</v>
      </c>
      <c r="S2" s="5">
        <v>0</v>
      </c>
      <c r="T2" s="2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ht="15.75" customHeight="1" x14ac:dyDescent="0.25">
      <c r="A3" s="1" t="s">
        <v>19</v>
      </c>
      <c r="B3" s="1" t="s">
        <v>0</v>
      </c>
      <c r="C3" s="10" t="s">
        <v>61</v>
      </c>
      <c r="D3">
        <v>12.5</v>
      </c>
      <c r="E3">
        <f t="shared" ref="E3:E11" si="0">ROUNDUP(100/D3,0)</f>
        <v>8</v>
      </c>
      <c r="F3" s="5" t="s">
        <v>16</v>
      </c>
      <c r="G3">
        <v>0.35</v>
      </c>
      <c r="H3" s="5" t="s">
        <v>30</v>
      </c>
      <c r="I3">
        <v>55.5</v>
      </c>
      <c r="J3" s="5">
        <v>60</v>
      </c>
      <c r="K3">
        <v>60</v>
      </c>
      <c r="L3">
        <f>E3*K3</f>
        <v>480</v>
      </c>
      <c r="M3" s="6">
        <v>410</v>
      </c>
      <c r="N3">
        <v>410</v>
      </c>
      <c r="O3">
        <f>E3*N3</f>
        <v>3280</v>
      </c>
      <c r="P3" s="5">
        <v>1</v>
      </c>
      <c r="Q3" s="5" t="s">
        <v>41</v>
      </c>
      <c r="R3">
        <v>0.6</v>
      </c>
      <c r="S3" s="5">
        <v>0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ht="15.75" customHeight="1" x14ac:dyDescent="0.25">
      <c r="A4" s="8" t="s">
        <v>19</v>
      </c>
      <c r="B4" s="1" t="s">
        <v>1</v>
      </c>
      <c r="C4" s="5" t="s">
        <v>35</v>
      </c>
      <c r="D4">
        <v>22.5</v>
      </c>
      <c r="E4">
        <f t="shared" si="0"/>
        <v>5</v>
      </c>
      <c r="F4" s="5">
        <v>1</v>
      </c>
      <c r="G4">
        <v>1</v>
      </c>
      <c r="H4" s="5" t="s">
        <v>31</v>
      </c>
      <c r="I4">
        <v>54</v>
      </c>
      <c r="J4" s="7">
        <v>50</v>
      </c>
      <c r="K4">
        <v>50</v>
      </c>
      <c r="L4">
        <f>E4*K4</f>
        <v>250</v>
      </c>
      <c r="M4" s="5">
        <v>330</v>
      </c>
      <c r="N4">
        <v>330</v>
      </c>
      <c r="O4">
        <f>E4*N4</f>
        <v>1650</v>
      </c>
      <c r="P4" s="5">
        <v>1</v>
      </c>
      <c r="Q4" s="5" t="s">
        <v>42</v>
      </c>
      <c r="R4">
        <v>0.4</v>
      </c>
      <c r="S4" s="5">
        <v>0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ht="15.75" customHeight="1" x14ac:dyDescent="0.25">
      <c r="A5" s="8" t="s">
        <v>19</v>
      </c>
      <c r="B5" s="1" t="s">
        <v>2</v>
      </c>
      <c r="C5" s="5" t="s">
        <v>27</v>
      </c>
      <c r="D5">
        <v>42.5</v>
      </c>
      <c r="E5">
        <f t="shared" si="0"/>
        <v>3</v>
      </c>
      <c r="F5" s="5">
        <v>1</v>
      </c>
      <c r="G5">
        <v>1</v>
      </c>
      <c r="H5" s="5">
        <v>58.4</v>
      </c>
      <c r="I5">
        <v>58.4</v>
      </c>
      <c r="J5" s="6" t="s">
        <v>68</v>
      </c>
      <c r="K5">
        <v>77.5</v>
      </c>
      <c r="L5">
        <f>E5*K5</f>
        <v>232.5</v>
      </c>
      <c r="M5" s="6" t="s">
        <v>67</v>
      </c>
      <c r="N5">
        <v>450</v>
      </c>
      <c r="O5">
        <f>E5*N5</f>
        <v>1350</v>
      </c>
      <c r="P5" s="6">
        <v>0</v>
      </c>
      <c r="Q5" s="6" t="s">
        <v>42</v>
      </c>
      <c r="R5">
        <v>0.4</v>
      </c>
      <c r="S5" s="5">
        <v>0</v>
      </c>
      <c r="T5" s="2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ht="15.75" customHeight="1" x14ac:dyDescent="0.25">
      <c r="A6" s="8" t="s">
        <v>20</v>
      </c>
      <c r="B6" s="1" t="s">
        <v>62</v>
      </c>
      <c r="C6" s="5" t="s">
        <v>6</v>
      </c>
      <c r="D6">
        <v>45</v>
      </c>
      <c r="E6">
        <f t="shared" si="0"/>
        <v>3</v>
      </c>
      <c r="F6" s="5">
        <v>0.6</v>
      </c>
      <c r="G6">
        <v>0.6</v>
      </c>
      <c r="H6" s="5" t="s">
        <v>39</v>
      </c>
      <c r="I6">
        <v>47.5</v>
      </c>
      <c r="J6" s="5">
        <v>55</v>
      </c>
      <c r="K6">
        <v>55</v>
      </c>
      <c r="L6">
        <f>E6*K6</f>
        <v>165</v>
      </c>
      <c r="M6" s="5">
        <v>260</v>
      </c>
      <c r="N6">
        <v>260</v>
      </c>
      <c r="O6">
        <f>E6*N6</f>
        <v>780</v>
      </c>
      <c r="P6" s="5">
        <v>2</v>
      </c>
      <c r="Q6" s="5" t="s">
        <v>43</v>
      </c>
      <c r="R6">
        <v>0.8</v>
      </c>
      <c r="S6" s="5">
        <v>2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ht="15.75" customHeight="1" x14ac:dyDescent="0.25">
      <c r="A7" s="8" t="s">
        <v>20</v>
      </c>
      <c r="B7" s="1" t="s">
        <v>37</v>
      </c>
      <c r="C7" s="5" t="s">
        <v>36</v>
      </c>
      <c r="D7">
        <v>35</v>
      </c>
      <c r="E7">
        <f t="shared" si="0"/>
        <v>3</v>
      </c>
      <c r="F7" s="5">
        <v>1</v>
      </c>
      <c r="G7">
        <v>1</v>
      </c>
      <c r="H7" s="5" t="s">
        <v>38</v>
      </c>
      <c r="I7">
        <v>57.5</v>
      </c>
      <c r="J7" s="5">
        <v>45</v>
      </c>
      <c r="K7">
        <v>45</v>
      </c>
      <c r="L7">
        <f>E7*K7</f>
        <v>135</v>
      </c>
      <c r="M7" s="5">
        <v>150</v>
      </c>
      <c r="N7">
        <v>150</v>
      </c>
      <c r="O7">
        <f>E7*N7</f>
        <v>450</v>
      </c>
      <c r="P7" s="5">
        <v>1</v>
      </c>
      <c r="Q7" s="5" t="s">
        <v>41</v>
      </c>
      <c r="R7">
        <v>0.6</v>
      </c>
      <c r="S7" s="5">
        <v>2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ht="15.5" customHeight="1" x14ac:dyDescent="0.25">
      <c r="A8" s="8" t="s">
        <v>20</v>
      </c>
      <c r="B8" s="1" t="s">
        <v>66</v>
      </c>
      <c r="C8" s="5" t="s">
        <v>7</v>
      </c>
      <c r="D8">
        <v>30</v>
      </c>
      <c r="E8">
        <f t="shared" si="0"/>
        <v>4</v>
      </c>
      <c r="F8" s="5">
        <v>0.35</v>
      </c>
      <c r="G8">
        <v>0.35</v>
      </c>
      <c r="H8" s="5">
        <v>46.5</v>
      </c>
      <c r="I8">
        <v>46.5</v>
      </c>
      <c r="J8" s="7">
        <v>45</v>
      </c>
      <c r="K8">
        <v>45</v>
      </c>
      <c r="L8">
        <f>E8*K8</f>
        <v>180</v>
      </c>
      <c r="M8" s="7">
        <v>150</v>
      </c>
      <c r="N8">
        <v>150</v>
      </c>
      <c r="O8">
        <f>E8*N8</f>
        <v>600</v>
      </c>
      <c r="P8" s="6">
        <v>1</v>
      </c>
      <c r="Q8" s="6" t="s">
        <v>41</v>
      </c>
      <c r="R8">
        <v>0.6</v>
      </c>
      <c r="S8" s="5">
        <v>2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ht="15.75" customHeight="1" x14ac:dyDescent="0.25">
      <c r="A9" s="8" t="s">
        <v>21</v>
      </c>
      <c r="B9" s="1" t="s">
        <v>3</v>
      </c>
      <c r="C9" s="5" t="s">
        <v>61</v>
      </c>
      <c r="D9">
        <v>12.5</v>
      </c>
      <c r="E9">
        <f t="shared" si="0"/>
        <v>8</v>
      </c>
      <c r="F9" s="5">
        <v>0.5</v>
      </c>
      <c r="G9">
        <v>0.5</v>
      </c>
      <c r="H9" s="5" t="s">
        <v>40</v>
      </c>
      <c r="I9">
        <v>46.5</v>
      </c>
      <c r="J9" s="5">
        <v>28</v>
      </c>
      <c r="K9">
        <v>28</v>
      </c>
      <c r="L9">
        <f>E9*K9</f>
        <v>224</v>
      </c>
      <c r="M9" s="5">
        <v>125</v>
      </c>
      <c r="N9">
        <v>125</v>
      </c>
      <c r="O9">
        <f>E9*N9</f>
        <v>1000</v>
      </c>
      <c r="P9" s="5">
        <v>2</v>
      </c>
      <c r="Q9" s="5" t="s">
        <v>43</v>
      </c>
      <c r="R9">
        <v>0.8</v>
      </c>
      <c r="S9" s="5">
        <v>2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ht="15.75" customHeight="1" x14ac:dyDescent="0.25">
      <c r="A10" s="8" t="s">
        <v>21</v>
      </c>
      <c r="B10" s="1" t="s">
        <v>4</v>
      </c>
      <c r="C10" s="5" t="s">
        <v>8</v>
      </c>
      <c r="D10">
        <v>15</v>
      </c>
      <c r="E10">
        <f t="shared" si="0"/>
        <v>7</v>
      </c>
      <c r="F10" s="5">
        <v>0.2</v>
      </c>
      <c r="G10">
        <v>0.2</v>
      </c>
      <c r="H10" s="5" t="s">
        <v>32</v>
      </c>
      <c r="I10">
        <v>49</v>
      </c>
      <c r="J10" s="7">
        <v>30</v>
      </c>
      <c r="K10">
        <v>30</v>
      </c>
      <c r="L10">
        <f>E10*K10</f>
        <v>210</v>
      </c>
      <c r="M10" s="7">
        <v>130</v>
      </c>
      <c r="N10">
        <v>130</v>
      </c>
      <c r="O10">
        <f>E10*N10</f>
        <v>910</v>
      </c>
      <c r="P10" s="5">
        <v>1</v>
      </c>
      <c r="Q10" s="5" t="s">
        <v>43</v>
      </c>
      <c r="R10">
        <v>0.8</v>
      </c>
      <c r="S10" s="5">
        <v>1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ht="15.5" customHeight="1" x14ac:dyDescent="0.25">
      <c r="A11" s="1" t="s">
        <v>21</v>
      </c>
      <c r="B11" s="1" t="s">
        <v>5</v>
      </c>
      <c r="C11" s="5" t="s">
        <v>9</v>
      </c>
      <c r="D11">
        <v>25</v>
      </c>
      <c r="E11">
        <f t="shared" si="0"/>
        <v>4</v>
      </c>
      <c r="F11" s="5" t="s">
        <v>17</v>
      </c>
      <c r="G11">
        <v>0.4</v>
      </c>
      <c r="H11" s="5" t="s">
        <v>33</v>
      </c>
      <c r="I11">
        <v>26</v>
      </c>
      <c r="J11" s="7">
        <v>53</v>
      </c>
      <c r="K11">
        <v>53</v>
      </c>
      <c r="L11">
        <f>E11*K11</f>
        <v>212</v>
      </c>
      <c r="M11" s="7">
        <v>180</v>
      </c>
      <c r="N11">
        <v>180</v>
      </c>
      <c r="O11">
        <f>E11*N11</f>
        <v>720</v>
      </c>
      <c r="P11" s="5">
        <v>1</v>
      </c>
      <c r="Q11" s="5" t="s">
        <v>43</v>
      </c>
      <c r="R11">
        <v>0.8</v>
      </c>
      <c r="S11" s="5">
        <v>1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ht="15.75" customHeight="1" x14ac:dyDescent="0.25"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ht="15.75" customHeight="1" x14ac:dyDescent="0.25"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ht="15.75" customHeight="1" x14ac:dyDescent="0.25">
      <c r="B14" s="1"/>
    </row>
    <row r="15" spans="1:51" ht="13" x14ac:dyDescent="0.3">
      <c r="A15" s="3"/>
      <c r="B15" s="9"/>
    </row>
    <row r="16" spans="1:51" ht="130.5" customHeight="1" x14ac:dyDescent="0.3">
      <c r="A16" s="3"/>
      <c r="B16" s="9"/>
    </row>
    <row r="17" spans="1:2" ht="13" x14ac:dyDescent="0.3">
      <c r="A17" s="3"/>
      <c r="B17" s="9"/>
    </row>
    <row r="18" spans="1:2" ht="77" customHeight="1" x14ac:dyDescent="0.3">
      <c r="A18" s="3"/>
      <c r="B18" s="9"/>
    </row>
    <row r="19" spans="1:2" ht="82" customHeight="1" x14ac:dyDescent="0.3">
      <c r="A19" s="3"/>
      <c r="B19" s="9"/>
    </row>
    <row r="20" spans="1:2" ht="34" customHeight="1" x14ac:dyDescent="0.3">
      <c r="A20" s="3"/>
      <c r="B20" s="9"/>
    </row>
    <row r="21" spans="1:2" ht="40" customHeight="1" x14ac:dyDescent="0.3">
      <c r="A21" s="3"/>
      <c r="B21" s="9"/>
    </row>
    <row r="22" spans="1:2" ht="73.5" customHeight="1" x14ac:dyDescent="0.3">
      <c r="A22" s="3"/>
      <c r="B22" s="9"/>
    </row>
    <row r="23" spans="1:2" ht="63.5" customHeight="1" x14ac:dyDescent="0.3">
      <c r="A23" s="3"/>
      <c r="B23" s="9"/>
    </row>
    <row r="24" spans="1:2" ht="167.5" customHeight="1" x14ac:dyDescent="0.3">
      <c r="A24" s="3"/>
      <c r="B24" s="9"/>
    </row>
    <row r="25" spans="1:2" ht="94.5" customHeight="1" x14ac:dyDescent="0.3">
      <c r="A25" s="4"/>
      <c r="B25" s="9"/>
    </row>
    <row r="26" spans="1:2" ht="141.5" customHeight="1" x14ac:dyDescent="0.3">
      <c r="A26" s="3"/>
      <c r="B26" s="9"/>
    </row>
    <row r="27" spans="1:2" ht="87" customHeight="1" x14ac:dyDescent="0.3">
      <c r="A27" s="3"/>
      <c r="B27" s="9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Ökonomische &amp; Technische Daten</vt:lpstr>
      <vt:lpstr>Ökologische Daten und Kreislauf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Pfeiffer</dc:creator>
  <cp:lastModifiedBy>Pfeiffer Sarah (pfeifsar)</cp:lastModifiedBy>
  <dcterms:created xsi:type="dcterms:W3CDTF">2025-10-03T12:57:51Z</dcterms:created>
  <dcterms:modified xsi:type="dcterms:W3CDTF">2025-11-19T17:07:20Z</dcterms:modified>
</cp:coreProperties>
</file>