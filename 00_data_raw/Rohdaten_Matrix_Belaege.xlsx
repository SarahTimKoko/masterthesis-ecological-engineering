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328" documentId="8_{E9D6D6FE-F378-4AF9-A02F-B79ECDA22C50}" xr6:coauthVersionLast="47" xr6:coauthVersionMax="47" xr10:uidLastSave="{90B892E3-78A6-478D-AE26-B71493610707}"/>
  <bookViews>
    <workbookView xWindow="-110" yWindow="-110" windowWidth="19420" windowHeight="1150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V6" i="2"/>
  <c r="V7" i="2"/>
  <c r="V8" i="2"/>
  <c r="V10" i="2"/>
  <c r="V11" i="2"/>
  <c r="V2" i="2"/>
  <c r="S6" i="2"/>
  <c r="S8"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4" i="2" l="1"/>
  <c r="S9" i="2"/>
  <c r="V9" i="2"/>
  <c r="V3" i="2"/>
  <c r="S10" i="2"/>
  <c r="M5" i="2"/>
  <c r="S3" i="2"/>
  <c r="S4" i="2"/>
</calcChain>
</file>

<file path=xl/sharedStrings.xml><?xml version="1.0" encoding="utf-8"?>
<sst xmlns="http://schemas.openxmlformats.org/spreadsheetml/2006/main" count="120" uniqueCount="92">
  <si>
    <t>Modulare Erneuerbarkeit</t>
  </si>
  <si>
    <t>Sickerasphalt</t>
  </si>
  <si>
    <t>Heller Asphalt</t>
  </si>
  <si>
    <t>Selbstheilender Asphalt</t>
  </si>
  <si>
    <t>Chaussierung</t>
  </si>
  <si>
    <t>Kiesrasen</t>
  </si>
  <si>
    <t>Rasengittersteine</t>
  </si>
  <si>
    <t>40–50</t>
  </si>
  <si>
    <t>25–35</t>
  </si>
  <si>
    <t>10–20</t>
  </si>
  <si>
    <t>20–30</t>
  </si>
  <si>
    <t>3–5</t>
  </si>
  <si>
    <t>5–8</t>
  </si>
  <si>
    <t>4–6</t>
  </si>
  <si>
    <t>6–8</t>
  </si>
  <si>
    <t>100–120</t>
  </si>
  <si>
    <t>315–385</t>
  </si>
  <si>
    <t>0.3–0.4</t>
  </si>
  <si>
    <t>0.3–0.5</t>
  </si>
  <si>
    <t>Belagsart</t>
  </si>
  <si>
    <t>Asphalt</t>
  </si>
  <si>
    <t>Pflaster</t>
  </si>
  <si>
    <t>Sickerbeläge</t>
  </si>
  <si>
    <t>Belagskategorie</t>
  </si>
  <si>
    <t>Ökobilanz - CO₂-Emissionen [kg CO₂-eq/m²]</t>
  </si>
  <si>
    <t>Ökobilanz - Graue Energie [kWh/m²]</t>
  </si>
  <si>
    <t>Unterhaltskosten [CHF/m²a]</t>
  </si>
  <si>
    <t>Kosten [CHF/m²]</t>
  </si>
  <si>
    <t>Versickerungs-Leistung [ψ]</t>
  </si>
  <si>
    <t>Lebensdauer [a]</t>
  </si>
  <si>
    <t>Versickerungsleistung [ψ]</t>
  </si>
  <si>
    <t>Lokale Materialien [%]</t>
  </si>
  <si>
    <t>40-45</t>
  </si>
  <si>
    <t>115–160</t>
  </si>
  <si>
    <t>Recyclingasphalt</t>
  </si>
  <si>
    <t>Lebensdauer</t>
  </si>
  <si>
    <t>55–56</t>
  </si>
  <si>
    <t>53–55</t>
  </si>
  <si>
    <t>48–50</t>
  </si>
  <si>
    <t>45–48</t>
  </si>
  <si>
    <t>90-110</t>
  </si>
  <si>
    <t>20-25</t>
  </si>
  <si>
    <t>30-40</t>
  </si>
  <si>
    <t>Betonpflastersteine (geschlossen, 2-4 mm Fugen)</t>
  </si>
  <si>
    <t>55-60</t>
  </si>
  <si>
    <t>Herleitung</t>
  </si>
  <si>
    <t>45-50</t>
  </si>
  <si>
    <t>45-48</t>
  </si>
  <si>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</si>
  <si>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</si>
  <si>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</si>
  <si>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</si>
  <si>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</si>
  <si>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</si>
  <si>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</si>
  <si>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</si>
  <si>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</si>
  <si>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</si>
  <si>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 xml:space="preserve">Oberflächentemperatur [°C] </t>
  </si>
  <si>
    <t>CO₂-Emissionen [kg CO₂-eq/m²]</t>
  </si>
  <si>
    <t>Graue Energie [kWh/m²]</t>
  </si>
  <si>
    <t>Lokale Materialien_MW [%]</t>
  </si>
  <si>
    <t>Befahrbarkeit [0-5]</t>
  </si>
  <si>
    <t>Anzahl Erneuerungen [100a]</t>
  </si>
  <si>
    <t>Unterhaltskosen [CHF/CHF/m²100a]</t>
  </si>
  <si>
    <t>Kosten [CHF/m²100a]</t>
  </si>
  <si>
    <t>CO₂-Emissionen [kg CO₂-eq/m²100a]</t>
  </si>
  <si>
    <t>Graue Energie [kWh/m²100a]</t>
  </si>
  <si>
    <t>Lebensdauer MW [a]</t>
  </si>
  <si>
    <t>Versickerungs-Leistung MW [ψ]</t>
  </si>
  <si>
    <t xml:space="preserve">Oberflächentemperatur MW [°C] </t>
  </si>
  <si>
    <t>Kosten MW [CHF/m²]</t>
  </si>
  <si>
    <t>Unterhaltskosten MW [CHF/m²a]</t>
  </si>
  <si>
    <t>CO₂-Emissionen MW [kg CO₂-eq/m²]</t>
  </si>
  <si>
    <t>Graue Energie MW [kWh/m²]</t>
  </si>
  <si>
    <t>10-15</t>
  </si>
  <si>
    <t>Natursteinpflaster (sickerfähig, 6-10 mm Fugen)</t>
  </si>
  <si>
    <t>130-160</t>
  </si>
  <si>
    <t>Die Bewertung der Oberflächentemperatur basiert auf den empirischen Feldmessungen des Pilotprojekts in Zürich Oerlikon, dokumentiert im Bericht des Schwammstadt Labor Zürich (2025) und Xu (2018). Als Referenzwert wurde die gemessene maximale Oberflächentemperatur des konventionellen Referenz-Asphalts von 58.4°C (Fläche B) herangezogen. Die Werte für die anderen Beläge (z.B. "Heller Asphalt" mit 54°C, "Naturstein" mit 47.5°C) wurden ebenfalls direkt aus den Messergebnissen (Fläche C, Fläche A) dieses Berichts übernommen.
Für Beläge, die im Zürcher Bericht nicht gemessen wurden (z.B. Sickerasphalt, Kiesrasen), wurden die Werte durch plausible Annahmen im Verhältnis zu den gemessenen Belägen (z.B. dunkler als Heller Asphalt, aber kühler als Referenz-Asphalt) festgelegt. Die Grobökobilanz (2022) stützt diese Einteilung qualitativ durch die Angabe von Albedo-Werten</t>
  </si>
  <si>
    <t>115-145</t>
  </si>
  <si>
    <t>70-90</t>
  </si>
  <si>
    <t>Ökopflastersteine (sickerfähig, 6-10 mm Fugen)</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</si>
  <si>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GrAT-Gruppe Angepasste Technologie (2009), (KBOB v7.0, Xu 2018/2019, Yan 2025, Wan 2023, Kappel (2016) - Angewandter Strassenbau, Garcia et al. (2009), Grolimund Partner AG und Bundesamt für Umwelt (2021)</t>
    </r>
  </si>
  <si>
    <t xml:space="preserve">Die Lebensdauer sind eine Synthese aus mehreren Fachquellen, um realistische, differenzierte Planungswerte für die 100-Jahres-Analyse zu ermitteln. Die Basiswerte für Standardbeläge wie Recyclingasphalt, Betonpflaster und Naturstein stammen primär aus der Grobökobilanz von Freiraumelementen (Stadt Zürich, 2022) und der GrAT-Studie (2009). Für sickerfähige und ungebundene Beläge (z.B. Sickerasphalt, Chaussierung, Kiesrasen) wurden kürzere Nutzungszeiten angesetzt, basierend auf den realistischen Spannen bei Kappel (2016) und GrAT (2009) sowie den empirischen Beobachtungen zu Verschlämmung im Bericht des Schwammstadt Labor Zürich (2025). Da die Studie von Grolimund Partner AG (2021) die Dauerhaftigkeit von Hellem Asphalt nicht untersuchte, wurde dessen Lebensdauer analog zu konventionellem Asphalt (Grobökobilanz, 2022) angesetzt. Der Wert für innovativen Selbstheilenden Asphalt (ca. 42.5 J.) basiert auf der von Garcia et al. (2009) postulierten Verdopplung der konventionellen Lebensdauer, was durch Laborversuche von Xu et al. (2018/2019) gestützt wird. Eigene Annahme Ökopflastersteine etwas weniger als Betonpflastersteine wegen erhöhtem Pflegeaufwand. </t>
  </si>
  <si>
    <t>400-500</t>
  </si>
  <si>
    <t>65-90</t>
  </si>
  <si>
    <t xml:space="preserve">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 Selbstheilender Asphalt kann wegen den Polymere Fasern nicht stofflich getrennt werden (WAn etal. 2023) und Xu et al. (2018). </t>
  </si>
  <si>
    <t>110-120</t>
  </si>
  <si>
    <t>Angaben aus Stadt Zürich 2022 - Grobökobilanz von Freiraumelementen, verifiziert Schwammstadt Labor Zürich et al. 2025 und Kappel (2016), für Chaussierung: abgleietet von Belag mit kalk-wassergebundener Deckschicht (Grobökobilanz (2022). Ökopflaster abgeleitet von Betonpflastersteinen (Grobökobilanz). Eigene Annahme Selbstheilender Asphalt: Der Wert sollte signifikant über dem normalen Asphalt liegen. Die Technologie (Polymere, Kapseln, Fasern) ist teurer in der Herstellung. Wang et al. 2025 und Wan et al. 2023, Xu et al (2019) bestätigen das Initialkosten höher sind. Sickerasphalt ist in der Herstellung (Mischgut) teurer als Herkömmlicher Asphalt Schwammstadt Labor Zürich</t>
  </si>
  <si>
    <t>Angaben aus Stadt Zürich 2022 - Grobökobilanz von Freiraumelementen, verifiziert Schwammstadt Labor Zürich et al. 2025 und Kappel (2016), Eigene Annahme für Ökopflastersteine Unterhaltskosten etwas höher als für Betonpflastersteine wegen erhöhtem Pflegeaufwand. Selbstheilender Asphalt: Eigene Annahme hier muss der Wert drastisch niedriger sein als die von normalem Asphalt. Das Ziel der Technologie ist es, die Wartungsintervalle zu verlängern und die Lebensdauer zu verdoppeln ("double the life span"). Die Kosten wurden daher im Vergleich zu normalem Aspahlt halbiertWang et al (2025), Wan et al. (2023) Xu et al. (2019) . Sickerasphalt: Deutlich höher als normaler Asphalt (Referenz Groböko_ZH, Kap 5.2: 3-5 CHF/m2a), da die Poren regelmäßig (z.B. jährlich) gespült oder gesaugt werden müssen, um Kolmatierung zu verhindern (Schwammstadt Labor Zürich).</t>
  </si>
  <si>
    <t>Treibhausgasemissionen für Herstellung (inkl. Transport, Bindemittel etc.), Kennwerte aus KBOB-Datensatz v7.0 (2024) - Oekobilanzdaten_Baubereich, Energie- und Treibhausgaswerte für CH-Mix, verifiziert mit Stadt Zürich 2022 - Grobökobilanz von Freiraumelementen, Eigene Annahme für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</si>
  <si>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nicht-erneuerbare Primärenergiebedarf bei Herstellung, Kennwerte aus Kennwerte aus KBOB-Datensatz v7.0 (2024) - Oekobilanzdaten_Baubereich, verifiziert mit Stadt Zürich 2022 - Grobökobilanz von Freiraumelementen, Eigene Annahme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</si>
</sst>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1">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topLeftCell="Q1" zoomScale="130" zoomScaleNormal="130" workbookViewId="0">
      <selection activeCell="R1" sqref="R1"/>
    </sheetView>
  </sheetViews>
  <sheetFormatPr baseColWidth="10" defaultColWidth="12.6328125" defaultRowHeight="15.75" customHeight="1" x14ac:dyDescent="0.25"/>
  <cols>
    <col min="1" max="1" width="54.26953125" customWidth="1"/>
    <col min="2" max="2" width="42" customWidth="1"/>
    <col min="3" max="3" width="15" customWidth="1"/>
    <col min="4" max="4" width="19.36328125" customWidth="1"/>
    <col min="5" max="5" width="25.7265625"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39.08984375" customWidth="1"/>
    <col min="18" max="19" width="32.90625" customWidth="1"/>
    <col min="20" max="20" width="23.90625" customWidth="1"/>
    <col min="21" max="22" width="28.26953125" customWidth="1"/>
    <col min="23" max="23" width="23.26953125" customWidth="1"/>
    <col min="24" max="24" width="20.453125" bestFit="1" customWidth="1"/>
    <col min="25" max="25" width="24.6328125" bestFit="1" customWidth="1"/>
    <col min="26" max="26" width="28.1796875" customWidth="1"/>
    <col min="27" max="27" width="59" bestFit="1" customWidth="1"/>
  </cols>
  <sheetData>
    <row r="1" spans="1:58" s="3" customFormat="1" ht="15.75" customHeight="1" x14ac:dyDescent="0.3">
      <c r="A1" s="3" t="s">
        <v>23</v>
      </c>
      <c r="B1" s="4" t="s">
        <v>19</v>
      </c>
      <c r="C1" s="4" t="s">
        <v>29</v>
      </c>
      <c r="D1" s="4" t="s">
        <v>68</v>
      </c>
      <c r="E1" s="4" t="s">
        <v>63</v>
      </c>
      <c r="F1" s="4" t="s">
        <v>28</v>
      </c>
      <c r="G1" s="4" t="s">
        <v>69</v>
      </c>
      <c r="H1" s="4" t="s">
        <v>58</v>
      </c>
      <c r="I1" s="4" t="s">
        <v>70</v>
      </c>
      <c r="J1" s="4" t="s">
        <v>62</v>
      </c>
      <c r="K1" s="4" t="s">
        <v>27</v>
      </c>
      <c r="L1" s="4" t="s">
        <v>71</v>
      </c>
      <c r="M1" s="4" t="s">
        <v>65</v>
      </c>
      <c r="N1" s="4" t="s">
        <v>26</v>
      </c>
      <c r="O1" s="4" t="s">
        <v>72</v>
      </c>
      <c r="P1" s="4" t="s">
        <v>64</v>
      </c>
      <c r="Q1" s="4" t="s">
        <v>59</v>
      </c>
      <c r="R1" s="4" t="s">
        <v>73</v>
      </c>
      <c r="S1" s="4" t="s">
        <v>66</v>
      </c>
      <c r="T1" s="4" t="s">
        <v>60</v>
      </c>
      <c r="U1" s="4" t="s">
        <v>74</v>
      </c>
      <c r="V1" s="4" t="s">
        <v>67</v>
      </c>
      <c r="W1" s="4" t="s">
        <v>56</v>
      </c>
      <c r="X1" s="4" t="s">
        <v>31</v>
      </c>
      <c r="Y1" s="4" t="s">
        <v>61</v>
      </c>
      <c r="Z1" s="4" t="s">
        <v>55</v>
      </c>
      <c r="AA1" s="4"/>
    </row>
    <row r="2" spans="1:58" ht="15.75" customHeight="1" x14ac:dyDescent="0.25">
      <c r="A2" s="1" t="s">
        <v>20</v>
      </c>
      <c r="B2" s="1" t="s">
        <v>34</v>
      </c>
      <c r="C2" s="5" t="s">
        <v>41</v>
      </c>
      <c r="D2">
        <v>22.5</v>
      </c>
      <c r="E2">
        <f>ROUNDUP(100/D2,0)</f>
        <v>5</v>
      </c>
      <c r="F2" s="5">
        <v>1</v>
      </c>
      <c r="G2">
        <v>1</v>
      </c>
      <c r="H2" s="5">
        <v>58.4</v>
      </c>
      <c r="I2">
        <v>58.4</v>
      </c>
      <c r="J2" s="5">
        <v>5</v>
      </c>
      <c r="K2" s="5" t="s">
        <v>40</v>
      </c>
      <c r="L2">
        <v>100</v>
      </c>
      <c r="M2">
        <f>E2*L2</f>
        <v>500</v>
      </c>
      <c r="N2" s="5" t="s">
        <v>11</v>
      </c>
      <c r="O2">
        <v>4</v>
      </c>
      <c r="P2">
        <f>O2*100</f>
        <v>400</v>
      </c>
      <c r="Q2" s="7">
        <v>45</v>
      </c>
      <c r="R2">
        <v>45</v>
      </c>
      <c r="S2">
        <f>E2*R2</f>
        <v>225</v>
      </c>
      <c r="T2" s="5">
        <v>245</v>
      </c>
      <c r="U2">
        <v>245</v>
      </c>
      <c r="V2">
        <f>E2*U2</f>
        <v>1225</v>
      </c>
      <c r="W2" s="5">
        <v>2</v>
      </c>
      <c r="X2" s="5" t="s">
        <v>50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20</v>
      </c>
      <c r="B3" s="1" t="s">
        <v>1</v>
      </c>
      <c r="C3" s="10" t="s">
        <v>75</v>
      </c>
      <c r="D3">
        <v>12.5</v>
      </c>
      <c r="E3">
        <f t="shared" ref="E3:E11" si="0">ROUNDUP(100/D3,0)</f>
        <v>8</v>
      </c>
      <c r="F3" s="5" t="s">
        <v>17</v>
      </c>
      <c r="G3">
        <v>0.35</v>
      </c>
      <c r="H3" s="5" t="s">
        <v>36</v>
      </c>
      <c r="I3">
        <v>55.5</v>
      </c>
      <c r="J3" s="5">
        <v>3</v>
      </c>
      <c r="K3" s="5" t="s">
        <v>87</v>
      </c>
      <c r="L3">
        <v>115</v>
      </c>
      <c r="M3">
        <f t="shared" ref="M3:M11" si="1">E3*L3</f>
        <v>920</v>
      </c>
      <c r="N3" s="5" t="s">
        <v>12</v>
      </c>
      <c r="O3">
        <v>6.5</v>
      </c>
      <c r="P3">
        <f t="shared" ref="P3:P11" si="2">O3*100</f>
        <v>650</v>
      </c>
      <c r="Q3" s="5">
        <v>60</v>
      </c>
      <c r="R3">
        <v>60</v>
      </c>
      <c r="S3">
        <f t="shared" ref="S3:S11" si="3">E3*R3</f>
        <v>480</v>
      </c>
      <c r="T3" s="6">
        <v>410</v>
      </c>
      <c r="U3">
        <v>410</v>
      </c>
      <c r="V3">
        <f t="shared" ref="V3:V11" si="4">E3*U3</f>
        <v>3280</v>
      </c>
      <c r="W3" s="5">
        <v>1</v>
      </c>
      <c r="X3" s="5" t="s">
        <v>50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20</v>
      </c>
      <c r="B4" s="1" t="s">
        <v>2</v>
      </c>
      <c r="C4" s="5" t="s">
        <v>41</v>
      </c>
      <c r="D4">
        <v>22.5</v>
      </c>
      <c r="E4">
        <f t="shared" si="0"/>
        <v>5</v>
      </c>
      <c r="F4" s="5">
        <v>1</v>
      </c>
      <c r="G4">
        <v>1</v>
      </c>
      <c r="H4" s="5" t="s">
        <v>37</v>
      </c>
      <c r="I4">
        <v>54</v>
      </c>
      <c r="J4" s="5">
        <v>5</v>
      </c>
      <c r="K4" s="5" t="s">
        <v>15</v>
      </c>
      <c r="L4">
        <v>110</v>
      </c>
      <c r="M4">
        <f t="shared" si="1"/>
        <v>550</v>
      </c>
      <c r="N4" s="5" t="s">
        <v>11</v>
      </c>
      <c r="O4">
        <v>4</v>
      </c>
      <c r="P4">
        <f t="shared" si="2"/>
        <v>400</v>
      </c>
      <c r="Q4" s="7">
        <v>50</v>
      </c>
      <c r="R4">
        <v>50</v>
      </c>
      <c r="S4">
        <f t="shared" si="3"/>
        <v>250</v>
      </c>
      <c r="T4" s="5">
        <v>330</v>
      </c>
      <c r="U4">
        <v>330</v>
      </c>
      <c r="V4">
        <f t="shared" si="4"/>
        <v>1650</v>
      </c>
      <c r="W4" s="5">
        <v>1</v>
      </c>
      <c r="X4" s="5" t="s">
        <v>51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20</v>
      </c>
      <c r="B5" s="1" t="s">
        <v>3</v>
      </c>
      <c r="C5" s="5" t="s">
        <v>32</v>
      </c>
      <c r="D5">
        <v>42.5</v>
      </c>
      <c r="E5">
        <f t="shared" si="0"/>
        <v>3</v>
      </c>
      <c r="F5" s="5">
        <v>1</v>
      </c>
      <c r="G5">
        <v>1</v>
      </c>
      <c r="H5" s="5">
        <v>58.4</v>
      </c>
      <c r="I5">
        <v>58.4</v>
      </c>
      <c r="J5" s="5">
        <v>5</v>
      </c>
      <c r="K5" s="5" t="s">
        <v>33</v>
      </c>
      <c r="L5">
        <v>138.5</v>
      </c>
      <c r="M5">
        <f t="shared" si="1"/>
        <v>415.5</v>
      </c>
      <c r="N5" s="5">
        <v>2</v>
      </c>
      <c r="O5">
        <v>2</v>
      </c>
      <c r="P5">
        <f t="shared" si="2"/>
        <v>200</v>
      </c>
      <c r="Q5" s="6" t="s">
        <v>85</v>
      </c>
      <c r="R5">
        <v>77.5</v>
      </c>
      <c r="S5">
        <f t="shared" si="3"/>
        <v>232.5</v>
      </c>
      <c r="T5" s="6" t="s">
        <v>84</v>
      </c>
      <c r="U5">
        <v>450</v>
      </c>
      <c r="V5">
        <f t="shared" si="4"/>
        <v>1350</v>
      </c>
      <c r="W5" s="6">
        <v>0</v>
      </c>
      <c r="X5" s="6" t="s">
        <v>51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21</v>
      </c>
      <c r="B6" s="1" t="s">
        <v>76</v>
      </c>
      <c r="C6" s="5" t="s">
        <v>7</v>
      </c>
      <c r="D6">
        <v>45</v>
      </c>
      <c r="E6">
        <f t="shared" si="0"/>
        <v>3</v>
      </c>
      <c r="F6" s="5">
        <v>0.6</v>
      </c>
      <c r="G6">
        <v>0.6</v>
      </c>
      <c r="H6" s="5" t="s">
        <v>46</v>
      </c>
      <c r="I6">
        <v>47.5</v>
      </c>
      <c r="J6" s="5">
        <v>3</v>
      </c>
      <c r="K6" s="5" t="s">
        <v>16</v>
      </c>
      <c r="L6">
        <v>350</v>
      </c>
      <c r="M6">
        <f t="shared" si="1"/>
        <v>1050</v>
      </c>
      <c r="N6" s="5" t="s">
        <v>13</v>
      </c>
      <c r="O6">
        <v>5</v>
      </c>
      <c r="P6">
        <f t="shared" si="2"/>
        <v>500</v>
      </c>
      <c r="Q6" s="5">
        <v>55</v>
      </c>
      <c r="R6">
        <v>55</v>
      </c>
      <c r="S6">
        <f t="shared" si="3"/>
        <v>165</v>
      </c>
      <c r="T6" s="5">
        <v>260</v>
      </c>
      <c r="U6">
        <v>260</v>
      </c>
      <c r="V6">
        <f t="shared" si="4"/>
        <v>780</v>
      </c>
      <c r="W6" s="5">
        <v>2</v>
      </c>
      <c r="X6" s="5" t="s">
        <v>52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21</v>
      </c>
      <c r="B7" s="1" t="s">
        <v>43</v>
      </c>
      <c r="C7" s="5" t="s">
        <v>42</v>
      </c>
      <c r="D7">
        <v>35</v>
      </c>
      <c r="E7">
        <f t="shared" si="0"/>
        <v>3</v>
      </c>
      <c r="F7" s="5">
        <v>1</v>
      </c>
      <c r="G7">
        <v>1</v>
      </c>
      <c r="H7" s="5" t="s">
        <v>44</v>
      </c>
      <c r="I7">
        <v>57.5</v>
      </c>
      <c r="J7" s="5">
        <v>4</v>
      </c>
      <c r="K7" s="5" t="s">
        <v>79</v>
      </c>
      <c r="L7">
        <v>130</v>
      </c>
      <c r="M7">
        <f t="shared" si="1"/>
        <v>390</v>
      </c>
      <c r="N7" s="5" t="s">
        <v>13</v>
      </c>
      <c r="O7">
        <v>5</v>
      </c>
      <c r="P7">
        <f t="shared" si="2"/>
        <v>500</v>
      </c>
      <c r="Q7" s="5">
        <v>45</v>
      </c>
      <c r="R7">
        <v>45</v>
      </c>
      <c r="S7">
        <f t="shared" si="3"/>
        <v>135</v>
      </c>
      <c r="T7" s="5">
        <v>150</v>
      </c>
      <c r="U7">
        <v>150</v>
      </c>
      <c r="V7">
        <f t="shared" si="4"/>
        <v>450</v>
      </c>
      <c r="W7" s="5">
        <v>1</v>
      </c>
      <c r="X7" s="5" t="s">
        <v>50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21</v>
      </c>
      <c r="B8" s="1" t="s">
        <v>81</v>
      </c>
      <c r="C8" s="5" t="s">
        <v>8</v>
      </c>
      <c r="D8">
        <v>30</v>
      </c>
      <c r="E8">
        <f t="shared" si="0"/>
        <v>4</v>
      </c>
      <c r="F8" s="5">
        <v>0.35</v>
      </c>
      <c r="G8">
        <v>0.35</v>
      </c>
      <c r="H8" s="5">
        <v>46.5</v>
      </c>
      <c r="I8">
        <v>46.5</v>
      </c>
      <c r="J8" s="5">
        <v>3</v>
      </c>
      <c r="K8" s="5" t="s">
        <v>79</v>
      </c>
      <c r="L8">
        <v>125</v>
      </c>
      <c r="M8">
        <f t="shared" si="1"/>
        <v>500</v>
      </c>
      <c r="N8" s="5" t="s">
        <v>14</v>
      </c>
      <c r="O8">
        <v>7</v>
      </c>
      <c r="P8">
        <f t="shared" si="2"/>
        <v>700</v>
      </c>
      <c r="Q8" s="7">
        <v>45</v>
      </c>
      <c r="R8">
        <v>45</v>
      </c>
      <c r="S8">
        <f t="shared" si="3"/>
        <v>180</v>
      </c>
      <c r="T8" s="7">
        <v>150</v>
      </c>
      <c r="U8">
        <v>150</v>
      </c>
      <c r="V8">
        <f t="shared" si="4"/>
        <v>600</v>
      </c>
      <c r="W8" s="6">
        <v>1</v>
      </c>
      <c r="X8" s="6" t="s">
        <v>50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22</v>
      </c>
      <c r="B9" s="1" t="s">
        <v>4</v>
      </c>
      <c r="C9" s="5" t="s">
        <v>75</v>
      </c>
      <c r="D9">
        <v>12.5</v>
      </c>
      <c r="E9">
        <f t="shared" si="0"/>
        <v>8</v>
      </c>
      <c r="F9" s="5">
        <v>0.5</v>
      </c>
      <c r="G9">
        <v>0.5</v>
      </c>
      <c r="H9" s="5" t="s">
        <v>47</v>
      </c>
      <c r="I9">
        <v>46.5</v>
      </c>
      <c r="J9" s="5">
        <v>1</v>
      </c>
      <c r="K9" s="5" t="s">
        <v>80</v>
      </c>
      <c r="L9">
        <v>80</v>
      </c>
      <c r="M9">
        <f t="shared" si="1"/>
        <v>640</v>
      </c>
      <c r="N9" s="5" t="s">
        <v>13</v>
      </c>
      <c r="O9">
        <v>5</v>
      </c>
      <c r="P9">
        <f t="shared" si="2"/>
        <v>500</v>
      </c>
      <c r="Q9" s="5">
        <v>28</v>
      </c>
      <c r="R9">
        <v>28</v>
      </c>
      <c r="S9">
        <f t="shared" si="3"/>
        <v>224</v>
      </c>
      <c r="T9" s="5">
        <v>125</v>
      </c>
      <c r="U9">
        <v>125</v>
      </c>
      <c r="V9">
        <f t="shared" si="4"/>
        <v>1000</v>
      </c>
      <c r="W9" s="5">
        <v>2</v>
      </c>
      <c r="X9" s="5" t="s">
        <v>52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22</v>
      </c>
      <c r="B10" s="1" t="s">
        <v>5</v>
      </c>
      <c r="C10" s="5" t="s">
        <v>9</v>
      </c>
      <c r="D10">
        <v>15</v>
      </c>
      <c r="E10">
        <f t="shared" si="0"/>
        <v>7</v>
      </c>
      <c r="F10" s="5">
        <v>0.2</v>
      </c>
      <c r="G10">
        <v>0.2</v>
      </c>
      <c r="H10" s="5" t="s">
        <v>38</v>
      </c>
      <c r="I10">
        <v>49</v>
      </c>
      <c r="J10" s="5">
        <v>3</v>
      </c>
      <c r="K10" s="5" t="s">
        <v>40</v>
      </c>
      <c r="L10">
        <v>100</v>
      </c>
      <c r="M10">
        <f t="shared" si="1"/>
        <v>700</v>
      </c>
      <c r="N10" s="5" t="s">
        <v>13</v>
      </c>
      <c r="O10">
        <v>5</v>
      </c>
      <c r="P10">
        <f t="shared" si="2"/>
        <v>500</v>
      </c>
      <c r="Q10" s="7">
        <v>30</v>
      </c>
      <c r="R10">
        <v>30</v>
      </c>
      <c r="S10">
        <f t="shared" si="3"/>
        <v>210</v>
      </c>
      <c r="T10" s="7">
        <v>130</v>
      </c>
      <c r="U10">
        <v>130</v>
      </c>
      <c r="V10">
        <f t="shared" si="4"/>
        <v>910</v>
      </c>
      <c r="W10" s="5">
        <v>1</v>
      </c>
      <c r="X10" s="5" t="s">
        <v>52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5" customHeight="1" x14ac:dyDescent="0.25">
      <c r="A11" s="1" t="s">
        <v>22</v>
      </c>
      <c r="B11" s="1" t="s">
        <v>6</v>
      </c>
      <c r="C11" s="5" t="s">
        <v>10</v>
      </c>
      <c r="D11">
        <v>25</v>
      </c>
      <c r="E11">
        <f t="shared" si="0"/>
        <v>4</v>
      </c>
      <c r="F11" s="5" t="s">
        <v>18</v>
      </c>
      <c r="G11">
        <v>0.4</v>
      </c>
      <c r="H11" s="5" t="s">
        <v>39</v>
      </c>
      <c r="I11">
        <v>26</v>
      </c>
      <c r="J11" s="5">
        <v>3</v>
      </c>
      <c r="K11" s="5" t="s">
        <v>77</v>
      </c>
      <c r="L11">
        <v>145</v>
      </c>
      <c r="M11">
        <f t="shared" si="1"/>
        <v>580</v>
      </c>
      <c r="N11" s="5" t="s">
        <v>14</v>
      </c>
      <c r="O11">
        <v>7</v>
      </c>
      <c r="P11">
        <f t="shared" si="2"/>
        <v>700</v>
      </c>
      <c r="Q11" s="7">
        <v>53</v>
      </c>
      <c r="R11">
        <v>53</v>
      </c>
      <c r="S11">
        <f t="shared" si="3"/>
        <v>212</v>
      </c>
      <c r="T11" s="7">
        <v>180</v>
      </c>
      <c r="U11">
        <v>180</v>
      </c>
      <c r="V11">
        <f t="shared" si="4"/>
        <v>720</v>
      </c>
      <c r="W11" s="5">
        <v>1</v>
      </c>
      <c r="X11" s="5" t="s">
        <v>52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pageSetup orientation="portrait" r:id="rId1"/>
  <ignoredErrors>
    <ignoredError sqref="C3 C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A12" workbookViewId="0">
      <selection activeCell="B13" sqref="B13"/>
    </sheetView>
  </sheetViews>
  <sheetFormatPr baseColWidth="10" defaultRowHeight="12.5" x14ac:dyDescent="0.25"/>
  <cols>
    <col min="1" max="1" width="39.08984375" bestFit="1" customWidth="1"/>
    <col min="2" max="2" width="45.81640625" customWidth="1"/>
  </cols>
  <sheetData>
    <row r="3" spans="1:3" ht="88.5" x14ac:dyDescent="0.3">
      <c r="A3" s="3" t="s">
        <v>45</v>
      </c>
      <c r="B3" s="9" t="s">
        <v>82</v>
      </c>
    </row>
    <row r="4" spans="1:3" ht="306.5" customHeight="1" x14ac:dyDescent="0.3">
      <c r="A4" s="3" t="s">
        <v>35</v>
      </c>
      <c r="B4" s="9" t="s">
        <v>83</v>
      </c>
      <c r="C4" s="2"/>
    </row>
    <row r="5" spans="1:3" ht="104.5" customHeight="1" x14ac:dyDescent="0.3">
      <c r="A5" s="3" t="s">
        <v>30</v>
      </c>
      <c r="B5" s="9" t="s">
        <v>48</v>
      </c>
    </row>
    <row r="6" spans="1:3" ht="270.5" customHeight="1" x14ac:dyDescent="0.3">
      <c r="A6" s="3" t="s">
        <v>58</v>
      </c>
      <c r="B6" s="9" t="s">
        <v>78</v>
      </c>
    </row>
    <row r="7" spans="1:3" ht="85" customHeight="1" x14ac:dyDescent="0.3">
      <c r="A7" s="3" t="s">
        <v>62</v>
      </c>
      <c r="B7" s="9" t="s">
        <v>53</v>
      </c>
    </row>
    <row r="8" spans="1:3" ht="163" x14ac:dyDescent="0.3">
      <c r="A8" s="3" t="s">
        <v>27</v>
      </c>
      <c r="B8" s="9" t="s">
        <v>88</v>
      </c>
    </row>
    <row r="9" spans="1:3" ht="213" x14ac:dyDescent="0.3">
      <c r="A9" s="3" t="s">
        <v>26</v>
      </c>
      <c r="B9" s="9" t="s">
        <v>89</v>
      </c>
    </row>
    <row r="10" spans="1:3" ht="263" x14ac:dyDescent="0.3">
      <c r="A10" s="3" t="s">
        <v>24</v>
      </c>
      <c r="B10" s="9" t="s">
        <v>90</v>
      </c>
    </row>
    <row r="11" spans="1:3" ht="250.5" x14ac:dyDescent="0.3">
      <c r="A11" s="3" t="s">
        <v>25</v>
      </c>
      <c r="B11" s="9" t="s">
        <v>91</v>
      </c>
    </row>
    <row r="12" spans="1:3" ht="213" x14ac:dyDescent="0.3">
      <c r="A12" s="3" t="s">
        <v>56</v>
      </c>
      <c r="B12" s="9" t="s">
        <v>86</v>
      </c>
    </row>
    <row r="13" spans="1:3" ht="144" customHeight="1" x14ac:dyDescent="0.3">
      <c r="A13" s="4" t="s">
        <v>57</v>
      </c>
      <c r="B13" s="9" t="s">
        <v>49</v>
      </c>
    </row>
    <row r="14" spans="1:3" ht="205.5" customHeight="1" x14ac:dyDescent="0.3">
      <c r="A14" s="3" t="s">
        <v>0</v>
      </c>
      <c r="B14" s="9" t="s">
        <v>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2025-11-19T10:50:46Z</dcterms:modified>
</cp:coreProperties>
</file>