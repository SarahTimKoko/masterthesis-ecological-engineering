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https://zhaw-my.sharepoint.com/personal/pfeifsar_students_zhaw_ch/Documents/6. Semester MSc UnR/Thesis/R_Project/00_data_raw/"/>
    </mc:Choice>
  </mc:AlternateContent>
  <xr:revisionPtr revIDLastSave="1339" documentId="8_{E9D6D6FE-F378-4AF9-A02F-B79ECDA22C50}" xr6:coauthVersionLast="47" xr6:coauthVersionMax="47" xr10:uidLastSave="{B64FD6C6-45CC-43BA-B4BA-2B06C5C252B3}"/>
  <bookViews>
    <workbookView xWindow="-110" yWindow="-110" windowWidth="19420" windowHeight="11500" xr2:uid="{00000000-000D-0000-FFFF-FFFF00000000}"/>
  </bookViews>
  <sheets>
    <sheet name="Rohdaten_Belaege" sheetId="2" r:id="rId1"/>
    <sheet name="Herleitung_Quellen"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 i="2" l="1"/>
  <c r="V6" i="2"/>
  <c r="V7" i="2"/>
  <c r="V8" i="2"/>
  <c r="V10" i="2"/>
  <c r="V11" i="2"/>
  <c r="V2" i="2"/>
  <c r="S6" i="2"/>
  <c r="S8" i="2"/>
  <c r="S11" i="2"/>
  <c r="S2" i="2"/>
  <c r="P3" i="2"/>
  <c r="P4" i="2"/>
  <c r="P5" i="2"/>
  <c r="P6" i="2"/>
  <c r="P7" i="2"/>
  <c r="P8" i="2"/>
  <c r="P9" i="2"/>
  <c r="P10" i="2"/>
  <c r="P11" i="2"/>
  <c r="P2" i="2"/>
  <c r="M7" i="2"/>
  <c r="E3" i="2"/>
  <c r="M3" i="2" s="1"/>
  <c r="E4" i="2"/>
  <c r="M4" i="2" s="1"/>
  <c r="E5" i="2"/>
  <c r="S5" i="2" s="1"/>
  <c r="E6" i="2"/>
  <c r="M6" i="2" s="1"/>
  <c r="E7" i="2"/>
  <c r="S7" i="2" s="1"/>
  <c r="E8" i="2"/>
  <c r="M8" i="2" s="1"/>
  <c r="E9" i="2"/>
  <c r="M9" i="2" s="1"/>
  <c r="E10" i="2"/>
  <c r="M10" i="2" s="1"/>
  <c r="E11" i="2"/>
  <c r="M11" i="2" s="1"/>
  <c r="E2" i="2"/>
  <c r="M2" i="2" s="1"/>
  <c r="V4" i="2" l="1"/>
  <c r="S9" i="2"/>
  <c r="V9" i="2"/>
  <c r="V3" i="2"/>
  <c r="S10" i="2"/>
  <c r="M5" i="2"/>
  <c r="S3" i="2"/>
  <c r="S4" i="2"/>
</calcChain>
</file>

<file path=xl/sharedStrings.xml><?xml version="1.0" encoding="utf-8"?>
<sst xmlns="http://schemas.openxmlformats.org/spreadsheetml/2006/main" count="120" uniqueCount="92">
  <si>
    <t>Modulare Erneuerbarkeit</t>
  </si>
  <si>
    <t>Sickerasphalt</t>
  </si>
  <si>
    <t>Heller Asphalt</t>
  </si>
  <si>
    <t>Selbstheilender Asphalt</t>
  </si>
  <si>
    <t>Chaussierung</t>
  </si>
  <si>
    <t>Kiesrasen</t>
  </si>
  <si>
    <t>Rasengittersteine</t>
  </si>
  <si>
    <t>40–50</t>
  </si>
  <si>
    <t>25–35</t>
  </si>
  <si>
    <t>10–20</t>
  </si>
  <si>
    <t>20–30</t>
  </si>
  <si>
    <t>3–5</t>
  </si>
  <si>
    <t>5–8</t>
  </si>
  <si>
    <t>4–6</t>
  </si>
  <si>
    <t>6–8</t>
  </si>
  <si>
    <t>100–120</t>
  </si>
  <si>
    <t>315–385</t>
  </si>
  <si>
    <t>0.3–0.4</t>
  </si>
  <si>
    <t>0.3–0.5</t>
  </si>
  <si>
    <t>Belagsart</t>
  </si>
  <si>
    <t>Asphalt</t>
  </si>
  <si>
    <t>Pflaster</t>
  </si>
  <si>
    <t>Sickerbeläge</t>
  </si>
  <si>
    <t>Belagskategorie</t>
  </si>
  <si>
    <t>Ökobilanz - CO₂-Emissionen [kg CO₂-eq/m²]</t>
  </si>
  <si>
    <t>Ökobilanz - Graue Energie [kWh/m²]</t>
  </si>
  <si>
    <t>Unterhaltskosten [CHF/m²a]</t>
  </si>
  <si>
    <t>Kosten [CHF/m²]</t>
  </si>
  <si>
    <t>Versickerungs-Leistung [ψ]</t>
  </si>
  <si>
    <t>Lebensdauer [a]</t>
  </si>
  <si>
    <t>Versickerungsleistung [ψ]</t>
  </si>
  <si>
    <t>Lokale Materialien [%]</t>
  </si>
  <si>
    <t>40-45</t>
  </si>
  <si>
    <t>115–160</t>
  </si>
  <si>
    <t>Recyclingasphalt</t>
  </si>
  <si>
    <t>Lebensdauer</t>
  </si>
  <si>
    <t>55–56</t>
  </si>
  <si>
    <t>53–55</t>
  </si>
  <si>
    <t>48–50</t>
  </si>
  <si>
    <t>45–48</t>
  </si>
  <si>
    <t>90-110</t>
  </si>
  <si>
    <t>20-25</t>
  </si>
  <si>
    <t>30-40</t>
  </si>
  <si>
    <t>Betonpflastersteine (geschlossen, 2-4 mm Fugen)</t>
  </si>
  <si>
    <t>55-60</t>
  </si>
  <si>
    <t>Herleitung</t>
  </si>
  <si>
    <t>45-50</t>
  </si>
  <si>
    <t>45-48</t>
  </si>
  <si>
    <t>Abflussbeiwert: ψ = 1 → kein Wasser versickert, ψ = 0 → alles Wasser versickert, ψ = 0.6→ 60% Oberflächenabfluss, 40% Versickerung, nach SIA 190:2017 und DWA-A138 (Schweiz/Deutschland), Abgeleitet von Schwammstadt Labor Zürich et al. 2025 und Stadt Zürich 2022 - Grobökobilanz von Freiraumelementen</t>
  </si>
  <si>
    <t>Der Anteil lokaler Materialien wurde qualitativ bewertet. Dabei wird zwischen „meist lokal“ (&gt; 80 %), „teilweise lokal“ (40–80 %) und „meist importiert“ (&lt; 40 %) unterschieden. Diese Einstufung orientiert sich an den Beschreibungen der Materialherkunft in der Grobökobilanz von Freiraumelementen (Stadt Zürich, 2022), den Materialanalysen von Kappel (2016) und den Beobachtungen des Schwammstadt Labors Zürich (2025).</t>
  </si>
  <si>
    <t>40-80</t>
  </si>
  <si>
    <t>&lt;40</t>
  </si>
  <si>
    <t>&gt;80</t>
  </si>
  <si>
    <t xml:space="preserve">Skala 0–5: 0 = nicht befahrbar (nur Fussgänger), 1 = leichte Fahrzeuge &lt; 1 t, 3 = Lieferverkehr, 5 = schwerer Verkehr &gt; 3.5 t, abgleitet von Stadt Zürich 2022 - Grobökobilanz von Freiraumelementen, Schwammstadt Labor Zürich et al. 202 </t>
  </si>
  <si>
    <t>Die Bewertung der modularen Erneuerbarkeit beschreibt die Möglichkeit, einzelne Elemente eines Belags auszutauschen oder instand zu setzen, ohne den gesamten Aufbau zu ersetzen.
Sie erfolgt auf einer dreistufigen Skala (0–2), wobei 0 für keine modulare Erneuerung (z. B. Asphalt, vollflächiger Ersatz), 1 für eingeschränkte Erneuerbarkeit (Teilbereiche oder Schichten austauschbar) und 2 für vollständig modulare Systeme (z. B. Pflaster- oder Sickerbeläge, Austausch einzelner Steine oder Elemente) steht.
Die Einstufung basiert auf eigener Einschätzung unter Berücksichtigung der konstruktiven Eigenschaften der Beläge.</t>
  </si>
  <si>
    <t>Modulare Erneuerbarkeit [0-2]</t>
  </si>
  <si>
    <t>Recyclingfähigkeit [0-2]</t>
  </si>
  <si>
    <t>Lokale Materialien [0-2]</t>
  </si>
  <si>
    <t xml:space="preserve">Oberflächentemperatur [°C] </t>
  </si>
  <si>
    <t>CO₂-Emissionen [kg CO₂-eq/m²]</t>
  </si>
  <si>
    <t>Graue Energie [kWh/m²]</t>
  </si>
  <si>
    <t>Lokale Materialien_MW [%]</t>
  </si>
  <si>
    <t>Befahrbarkeit [0-5]</t>
  </si>
  <si>
    <t>Anzahl Erneuerungen [100a]</t>
  </si>
  <si>
    <t>Kosten [CHF/m²100a]</t>
  </si>
  <si>
    <t>CO₂-Emissionen [kg CO₂-eq/m²100a]</t>
  </si>
  <si>
    <t>Graue Energie [kWh/m²100a]</t>
  </si>
  <si>
    <t>Lebensdauer MW [a]</t>
  </si>
  <si>
    <t>Versickerungs-Leistung MW [ψ]</t>
  </si>
  <si>
    <t xml:space="preserve">Oberflächentemperatur MW [°C] </t>
  </si>
  <si>
    <t>Kosten MW [CHF/m²]</t>
  </si>
  <si>
    <t>Unterhaltskosten MW [CHF/m²a]</t>
  </si>
  <si>
    <t>CO₂-Emissionen MW [kg CO₂-eq/m²]</t>
  </si>
  <si>
    <t>Graue Energie MW [kWh/m²]</t>
  </si>
  <si>
    <t>10-15</t>
  </si>
  <si>
    <t>Natursteinpflaster (sickerfähig, 6-10 mm Fugen)</t>
  </si>
  <si>
    <t>130-160</t>
  </si>
  <si>
    <t>Die Bewertung der Oberflächentemperatur basiert auf den empirischen Feldmessungen des Pilotprojekts in Zürich Oerlikon, dokumentiert im Bericht des Schwammstadt Labor Zürich (2025) und Xu (2018). Als Referenzwert wurde die gemessene maximale Oberflächentemperatur des konventionellen Referenz-Asphalts von 58.4°C (Fläche B) herangezogen. Die Werte für die anderen Beläge (z.B. "Heller Asphalt" mit 54°C, "Naturstein" mit 47.5°C) wurden ebenfalls direkt aus den Messergebnissen (Fläche C, Fläche A) dieses Berichts übernommen.
Für Beläge, die im Zürcher Bericht nicht gemessen wurden (z.B. Sickerasphalt, Kiesrasen), wurden die Werte durch plausible Annahmen im Verhältnis zu den gemessenen Belägen (z.B. dunkler als Heller Asphalt, aber kühler als Referenz-Asphalt) festgelegt. Die Grobökobilanz (2022) stützt diese Einteilung qualitativ durch die Angabe von Albedo-Werten</t>
  </si>
  <si>
    <t>115-145</t>
  </si>
  <si>
    <t>70-90</t>
  </si>
  <si>
    <t>Ökopflastersteine (sickerfähig, 6-10 mm Fugen)</t>
  </si>
  <si>
    <r>
      <rPr>
        <b/>
        <sz val="10"/>
        <color rgb="FF000000"/>
        <rFont val="Arial"/>
        <family val="2"/>
        <scheme val="minor"/>
      </rPr>
      <t>Quellen:</t>
    </r>
    <r>
      <rPr>
        <sz val="10"/>
        <color rgb="FF000000"/>
        <rFont val="Arial"/>
        <family val="2"/>
        <scheme val="minor"/>
      </rPr>
      <t xml:space="preserve"> Stadt Zürich 2022 - Grobökobilanz von Freiraumelementen, Schwammstadt Labor Zürich et al. 2025, GrAT-Gruppe Angepasste Technologie (2009), (KBOB v7.0, Xu 2018/2019, Yan 2025, Wan 2023, Kappel (2016) - Angewandter Strassenbau, Garcia et al. (2009), Grolimund Partner AG und Bundesamt für Umwelt (2021)</t>
    </r>
  </si>
  <si>
    <t xml:space="preserve">Die Lebensdauer sind eine Synthese aus mehreren Fachquellen, um realistische, differenzierte Planungswerte für die 100-Jahres-Analyse zu ermitteln. Die Basiswerte für Standardbeläge wie Recyclingasphalt, Betonpflaster und Naturstein stammen primär aus der Grobökobilanz von Freiraumelementen (Stadt Zürich, 2022) und der GrAT-Studie (2009). Für sickerfähige und ungebundene Beläge (z.B. Sickerasphalt, Chaussierung, Kiesrasen) wurden kürzere Nutzungszeiten angesetzt, basierend auf den realistischen Spannen bei Kappel (2016) und GrAT (2009) sowie den empirischen Beobachtungen zu Verschlämmung im Bericht des Schwammstadt Labor Zürich (2025). Da die Studie von Grolimund Partner AG (2021) die Dauerhaftigkeit von Hellem Asphalt nicht untersuchte, wurde dessen Lebensdauer analog zu konventionellem Asphalt (Grobökobilanz, 2022) angesetzt. Der Wert für innovativen Selbstheilenden Asphalt (ca. 42.5 J.) basiert auf der von Garcia et al. (2009) postulierten Verdopplung der konventionellen Lebensdauer, was durch Laborversuche von Xu et al. (2018/2019) gestützt wird. Eigene Annahme Ökopflastersteine etwas weniger als Betonpflastersteine wegen erhöhtem Pflegeaufwand. </t>
  </si>
  <si>
    <t>400-500</t>
  </si>
  <si>
    <t>65-90</t>
  </si>
  <si>
    <t xml:space="preserve">Die Bewertung der Recyclingfähigkeit bezieht sich auf die stoffliche Wiederverwendbarkeit der eingesetzten Materialien.
Sie basiert auf den Angaben zur Kreislauffähigkeit aus der Grobökobilanz von Freiraumelementen (Stadt Zürich, 2022; Schwammstadt Labor Zürich et al., 2025) sowie auf technischen Grundlagen zur Materialtrennung nach Kappel (2016).
Die Einstufung erfolgt auf einer dreistufigen Skala (0–2), wobei 0 keine stoffliche Wiederverwendung (nicht recyclingfähig), 1 eine eingeschränkte Recyclingfähigkeit (teilweise trennbar, nur Downcycling möglich) und 2 eine hohe Recyclingfähigkeit (gut trennbar, stofflich wiederverwendbar) kennzeichnet. Selbstheilender Asphalt kann wegen den Polymere Fasern nicht stofflich getrennt werden (WAn etal. 2023) und Xu et al. (2018). </t>
  </si>
  <si>
    <t>110-120</t>
  </si>
  <si>
    <t>Angaben aus Stadt Zürich 2022 - Grobökobilanz von Freiraumelementen, verifiziert Schwammstadt Labor Zürich et al. 2025 und Kappel (2016), für Chaussierung: abgleietet von Belag mit kalk-wassergebundener Deckschicht (Grobökobilanz (2022). Ökopflaster abgeleitet von Betonpflastersteinen (Grobökobilanz). Eigene Annahme Selbstheilender Asphalt: Der Wert sollte signifikant über dem normalen Asphalt liegen. Die Technologie (Polymere, Kapseln, Fasern) ist teurer in der Herstellung. Wang et al. 2025 und Wan et al. 2023, Xu et al (2019) bestätigen das Initialkosten höher sind. Sickerasphalt ist in der Herstellung (Mischgut) teurer als Herkömmlicher Asphalt Schwammstadt Labor Zürich</t>
  </si>
  <si>
    <t>Angaben aus Stadt Zürich 2022 - Grobökobilanz von Freiraumelementen, verifiziert Schwammstadt Labor Zürich et al. 2025 und Kappel (2016), Eigene Annahme für Ökopflastersteine Unterhaltskosten etwas höher als für Betonpflastersteine wegen erhöhtem Pflegeaufwand. Selbstheilender Asphalt: Eigene Annahme hier muss der Wert drastisch niedriger sein als die von normalem Asphalt. Das Ziel der Technologie ist es, die Wartungsintervalle zu verlängern und die Lebensdauer zu verdoppeln ("double the life span"). Die Kosten wurden daher im Vergleich zu normalem Aspahlt halbiertWang et al (2025), Wan et al. (2023) Xu et al. (2019) . Sickerasphalt: Deutlich höher als normaler Asphalt (Referenz Groböko_ZH, Kap 5.2: 3-5 CHF/m2a), da die Poren regelmäßig (z.B. jährlich) gespült oder gesaugt werden müssen, um Kolmatierung zu verhindern (Schwammstadt Labor Zürich).</t>
  </si>
  <si>
    <t>Treibhausgasemissionen für Herstellung (inkl. Transport, Bindemittel etc.), Kennwerte aus KBOB-Datensatz v7.0 (2024) - Oekobilanzdaten_Baubereich, Energie- und Treibhausgaswerte für CH-Mix, verifiziert mit Stadt Zürich 2022 - Grobökobilanz von Freiraumelementen, Eigene Annahme für Ökopflastersteine gleiche Werte wie Betonpflastersteine. Eigenen Anahme Selbstheilender Asphalt: Selbstheilender Asphalt ist ein High-Performance-Material. Die Herstellung der speziellen Additive (egal ob Kalzium-Alginat-Kapseln, Polymere, oder Stahlfasern) erfordert zusätzliche Prozessschritte und Energie im Vergleich zur reinen Bitumen- und Gesteinsproduktion (Wang et al. 2025) Wert abgeleitet von Grobökobilanz für Spezialasphalt wie z.B Grussasphalt.  Sickerasphalt: Die Herstellung von Porenasphalt benötigt oft ein modifiziertes oder höheres Bindemittelvolumen (Bitumen), um die Gesteinskörner an den Kontaktpunkten stabil zu verkleben. Daher liegen die Werte leicht über dem Standard-Asphalt Schwammstadt Labor Zürich.</t>
  </si>
  <si>
    <t>nicht-erneuerbare Primärenergiebedarf bei Herstellung, Kennwerte aus Kennwerte aus KBOB-Datensatz v7.0 (2024) - Oekobilanzdaten_Baubereich, verifiziert mit Stadt Zürich 2022 - Grobökobilanz von Freiraumelementen, Eigene Annahme Ökopflastersteine gleiche Werte wie Betonpflastersteine.  Eigenen Anahme Selbstheilender Asphalt: Selbstheilender Asphalt ist ein High-Performance-Material. Die Herstellung der speziellen Additive (egal ob Kalzium-Alginat-Kapseln, Polymere, oder Stahlfasern) erfordert zusätzliche Prozessschritte und Energie im Vergleich zur reinen Bitumen- und Gesteinsproduktion (Wang et al. 2025) Wert abgeleitet von Grobökobilanz für Spezialasphalt wie z.B Grussasphalt. Sickerasphalt: Die Herstellung von Porenasphalt benötigt oft ein modifiziertes oder höheres Bindemittelvolumen (Bitumen), um die Gesteinskörner an den Kontaktpunkten stabil zu verkleben. Daher liegen die Werte leicht über dem Standard-Asphalt Schwammstadt Labor Zürich.</t>
  </si>
  <si>
    <t>Unterhaltskosten [CHF/CHF/m²100a]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</si>
</sst>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1"/>
      <color theme="1"/>
      <name val="Arial"/>
      <family val="2"/>
      <scheme val="minor"/>
    </font>
    <font>
      <sz val="11"/>
      <color theme="1"/>
      <name val="Arial"/>
      <family val="2"/>
      <scheme val="minor"/>
    </font>
    <font>
      <sz val="10"/>
      <color theme="1"/>
      <name val="Arial"/>
      <family val="2"/>
      <scheme val="minor"/>
    </font>
    <font>
      <sz val="10"/>
      <color theme="1"/>
      <name val="Arial"/>
      <family val="2"/>
      <scheme val="minor"/>
    </font>
    <font>
      <sz val="10"/>
      <color rgb="FF000000"/>
      <name val="Arial"/>
      <family val="2"/>
      <scheme val="minor"/>
    </font>
    <font>
      <b/>
      <sz val="10"/>
      <color rgb="FF000000"/>
      <name val="Arial"/>
      <family val="2"/>
      <scheme val="minor"/>
    </font>
    <font>
      <b/>
      <sz val="10"/>
      <color theme="1"/>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1" fillId="0" borderId="0"/>
  </cellStyleXfs>
  <cellXfs count="11">
    <xf numFmtId="0" fontId="0" fillId="0" borderId="0" xfId="0"/>
    <xf numFmtId="0" fontId="3" fillId="0" borderId="0" xfId="0" applyFont="1"/>
    <xf numFmtId="0" fontId="5" fillId="0" borderId="0" xfId="0" applyFont="1"/>
    <xf numFmtId="0" fontId="6" fillId="0" borderId="0" xfId="0" applyFont="1"/>
    <xf numFmtId="0" fontId="7" fillId="0" borderId="0" xfId="0" applyFont="1"/>
    <xf numFmtId="0" fontId="3" fillId="0" borderId="0" xfId="0" applyFont="1" applyAlignment="1">
      <alignment horizontal="right"/>
    </xf>
    <xf numFmtId="0" fontId="5" fillId="0" borderId="0" xfId="0" applyFont="1" applyAlignment="1">
      <alignment horizontal="right"/>
    </xf>
    <xf numFmtId="0" fontId="4" fillId="0" borderId="0" xfId="0" applyFont="1" applyAlignment="1">
      <alignment horizontal="right"/>
    </xf>
    <xf numFmtId="0" fontId="4" fillId="0" borderId="0" xfId="0" applyFont="1"/>
    <xf numFmtId="0" fontId="5" fillId="0" borderId="0" xfId="0" applyFont="1" applyAlignment="1">
      <alignment wrapText="1"/>
    </xf>
    <xf numFmtId="49" fontId="3" fillId="0" borderId="0" xfId="0" applyNumberFormat="1" applyFont="1" applyAlignment="1">
      <alignment horizontal="right"/>
    </xf>
  </cellXfs>
  <cellStyles count="3">
    <cellStyle name="Standard" xfId="0" builtinId="0"/>
    <cellStyle name="Standard 2" xfId="1" xr:uid="{FDA4522A-3E82-414C-9853-3CFD80ED64E6}"/>
    <cellStyle name="Standard 3" xfId="2" xr:uid="{A45F0267-2B20-48E9-8853-A94E471E56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45AB7-8A4B-4C00-997D-6D46C1094D77}">
  <dimension ref="A1:BF27"/>
  <sheetViews>
    <sheetView tabSelected="1" topLeftCell="W1" zoomScale="130" zoomScaleNormal="130" workbookViewId="0">
      <selection activeCell="V10" sqref="V10"/>
    </sheetView>
  </sheetViews>
  <sheetFormatPr baseColWidth="10" defaultColWidth="12.6328125" defaultRowHeight="15.75" customHeight="1" x14ac:dyDescent="0.25"/>
  <cols>
    <col min="1" max="1" width="15.7265625" customWidth="1"/>
    <col min="2" max="2" width="40.6328125" customWidth="1"/>
    <col min="3" max="3" width="15" customWidth="1"/>
    <col min="4" max="4" width="19.36328125" customWidth="1"/>
    <col min="5" max="5" width="25.7265625" customWidth="1"/>
    <col min="6" max="6" width="24.6328125" customWidth="1"/>
    <col min="7" max="7" width="28.90625" customWidth="1"/>
    <col min="8" max="8" width="26.90625" customWidth="1"/>
    <col min="9" max="9" width="30.1796875" customWidth="1"/>
    <col min="10" max="10" width="18.6328125" customWidth="1"/>
    <col min="11" max="11" width="15.08984375" customWidth="1"/>
    <col min="12" max="12" width="19.453125" bestFit="1" customWidth="1"/>
    <col min="13" max="13" width="19.453125" customWidth="1"/>
    <col min="14" max="14" width="24.90625" customWidth="1"/>
    <col min="15" max="15" width="29.26953125" bestFit="1" customWidth="1"/>
    <col min="16" max="16" width="30.90625" bestFit="1" customWidth="1"/>
    <col min="17" max="17" width="29.26953125" customWidth="1"/>
    <col min="18" max="19" width="32.90625" customWidth="1"/>
    <col min="20" max="20" width="22.08984375" customWidth="1"/>
    <col min="21" max="21" width="25.81640625" customWidth="1"/>
    <col min="22" max="22" width="25.7265625" customWidth="1"/>
    <col min="23" max="23" width="21.36328125" customWidth="1"/>
    <col min="24" max="24" width="20.453125" bestFit="1" customWidth="1"/>
    <col min="25" max="25" width="24.6328125" bestFit="1" customWidth="1"/>
    <col min="26" max="26" width="26.54296875" customWidth="1"/>
    <col min="27" max="27" width="59" bestFit="1" customWidth="1"/>
  </cols>
  <sheetData>
    <row r="1" spans="1:58" s="3" customFormat="1" ht="15.75" customHeight="1" x14ac:dyDescent="0.3">
      <c r="A1" s="3" t="s">
        <v>23</v>
      </c>
      <c r="B1" s="4" t="s">
        <v>19</v>
      </c>
      <c r="C1" s="4" t="s">
        <v>29</v>
      </c>
      <c r="D1" s="4" t="s">
        <v>67</v>
      </c>
      <c r="E1" s="4" t="s">
        <v>63</v>
      </c>
      <c r="F1" s="4" t="s">
        <v>28</v>
      </c>
      <c r="G1" s="4" t="s">
        <v>68</v>
      </c>
      <c r="H1" s="4" t="s">
        <v>58</v>
      </c>
      <c r="I1" s="4" t="s">
        <v>69</v>
      </c>
      <c r="J1" s="4" t="s">
        <v>62</v>
      </c>
      <c r="K1" s="4" t="s">
        <v>27</v>
      </c>
      <c r="L1" s="4" t="s">
        <v>70</v>
      </c>
      <c r="M1" s="4" t="s">
        <v>64</v>
      </c>
      <c r="N1" s="4" t="s">
        <v>26</v>
      </c>
      <c r="O1" s="4" t="s">
        <v>71</v>
      </c>
      <c r="P1" s="4" t="s">
        <v>91</v>
      </c>
      <c r="Q1" s="4" t="s">
        <v>59</v>
      </c>
      <c r="R1" s="4" t="s">
        <v>72</v>
      </c>
      <c r="S1" s="4" t="s">
        <v>65</v>
      </c>
      <c r="T1" s="4" t="s">
        <v>60</v>
      </c>
      <c r="U1" s="4" t="s">
        <v>73</v>
      </c>
      <c r="V1" s="4" t="s">
        <v>66</v>
      </c>
      <c r="W1" s="4" t="s">
        <v>56</v>
      </c>
      <c r="X1" s="4" t="s">
        <v>31</v>
      </c>
      <c r="Y1" s="4" t="s">
        <v>61</v>
      </c>
      <c r="Z1" s="4" t="s">
        <v>55</v>
      </c>
      <c r="AA1" s="4"/>
    </row>
    <row r="2" spans="1:58" ht="15.75" customHeight="1" x14ac:dyDescent="0.25">
      <c r="A2" s="1" t="s">
        <v>20</v>
      </c>
      <c r="B2" s="1" t="s">
        <v>34</v>
      </c>
      <c r="C2" s="5" t="s">
        <v>41</v>
      </c>
      <c r="D2">
        <v>22.5</v>
      </c>
      <c r="E2">
        <f>ROUNDUP(100/D2,0)</f>
        <v>5</v>
      </c>
      <c r="F2" s="5">
        <v>1</v>
      </c>
      <c r="G2">
        <v>1</v>
      </c>
      <c r="H2" s="5">
        <v>58.4</v>
      </c>
      <c r="I2">
        <v>58.4</v>
      </c>
      <c r="J2" s="5">
        <v>5</v>
      </c>
      <c r="K2" s="5" t="s">
        <v>40</v>
      </c>
      <c r="L2">
        <v>100</v>
      </c>
      <c r="M2">
        <f>E2*L2</f>
        <v>500</v>
      </c>
      <c r="N2" s="5" t="s">
        <v>11</v>
      </c>
      <c r="O2">
        <v>4</v>
      </c>
      <c r="P2">
        <f>O2*100</f>
        <v>400</v>
      </c>
      <c r="Q2" s="7">
        <v>45</v>
      </c>
      <c r="R2">
        <v>45</v>
      </c>
      <c r="S2">
        <f>E2*R2</f>
        <v>225</v>
      </c>
      <c r="T2" s="5">
        <v>245</v>
      </c>
      <c r="U2">
        <v>245</v>
      </c>
      <c r="V2">
        <f>E2*U2</f>
        <v>1225</v>
      </c>
      <c r="W2" s="5">
        <v>2</v>
      </c>
      <c r="X2" s="5" t="s">
        <v>50</v>
      </c>
      <c r="Y2">
        <v>0.6</v>
      </c>
      <c r="Z2" s="5">
        <v>0</v>
      </c>
      <c r="AA2" s="2"/>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row>
    <row r="3" spans="1:58" ht="15.75" customHeight="1" x14ac:dyDescent="0.25">
      <c r="A3" s="1" t="s">
        <v>20</v>
      </c>
      <c r="B3" s="1" t="s">
        <v>1</v>
      </c>
      <c r="C3" s="10" t="s">
        <v>74</v>
      </c>
      <c r="D3">
        <v>12.5</v>
      </c>
      <c r="E3">
        <f t="shared" ref="E3:E11" si="0">ROUNDUP(100/D3,0)</f>
        <v>8</v>
      </c>
      <c r="F3" s="5" t="s">
        <v>17</v>
      </c>
      <c r="G3">
        <v>0.35</v>
      </c>
      <c r="H3" s="5" t="s">
        <v>36</v>
      </c>
      <c r="I3">
        <v>55.5</v>
      </c>
      <c r="J3" s="5">
        <v>3</v>
      </c>
      <c r="K3" s="5" t="s">
        <v>86</v>
      </c>
      <c r="L3">
        <v>115</v>
      </c>
      <c r="M3">
        <f t="shared" ref="M3:M11" si="1">E3*L3</f>
        <v>920</v>
      </c>
      <c r="N3" s="5" t="s">
        <v>12</v>
      </c>
      <c r="O3">
        <v>6.5</v>
      </c>
      <c r="P3">
        <f t="shared" ref="P3:P11" si="2">O3*100</f>
        <v>650</v>
      </c>
      <c r="Q3" s="5">
        <v>60</v>
      </c>
      <c r="R3">
        <v>60</v>
      </c>
      <c r="S3">
        <f t="shared" ref="S3:S11" si="3">E3*R3</f>
        <v>480</v>
      </c>
      <c r="T3" s="6">
        <v>410</v>
      </c>
      <c r="U3">
        <v>410</v>
      </c>
      <c r="V3">
        <f t="shared" ref="V3:V11" si="4">E3*U3</f>
        <v>3280</v>
      </c>
      <c r="W3" s="5">
        <v>1</v>
      </c>
      <c r="X3" s="5" t="s">
        <v>50</v>
      </c>
      <c r="Y3">
        <v>0.6</v>
      </c>
      <c r="Z3" s="5">
        <v>0</v>
      </c>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row>
    <row r="4" spans="1:58" ht="15.75" customHeight="1" x14ac:dyDescent="0.25">
      <c r="A4" s="8" t="s">
        <v>20</v>
      </c>
      <c r="B4" s="1" t="s">
        <v>2</v>
      </c>
      <c r="C4" s="5" t="s">
        <v>41</v>
      </c>
      <c r="D4">
        <v>22.5</v>
      </c>
      <c r="E4">
        <f t="shared" si="0"/>
        <v>5</v>
      </c>
      <c r="F4" s="5">
        <v>1</v>
      </c>
      <c r="G4">
        <v>1</v>
      </c>
      <c r="H4" s="5" t="s">
        <v>37</v>
      </c>
      <c r="I4">
        <v>54</v>
      </c>
      <c r="J4" s="5">
        <v>5</v>
      </c>
      <c r="K4" s="5" t="s">
        <v>15</v>
      </c>
      <c r="L4">
        <v>110</v>
      </c>
      <c r="M4">
        <f t="shared" si="1"/>
        <v>550</v>
      </c>
      <c r="N4" s="5" t="s">
        <v>11</v>
      </c>
      <c r="O4">
        <v>4</v>
      </c>
      <c r="P4">
        <f t="shared" si="2"/>
        <v>400</v>
      </c>
      <c r="Q4" s="7">
        <v>50</v>
      </c>
      <c r="R4">
        <v>50</v>
      </c>
      <c r="S4">
        <f t="shared" si="3"/>
        <v>250</v>
      </c>
      <c r="T4" s="5">
        <v>330</v>
      </c>
      <c r="U4">
        <v>330</v>
      </c>
      <c r="V4">
        <f t="shared" si="4"/>
        <v>1650</v>
      </c>
      <c r="W4" s="5">
        <v>1</v>
      </c>
      <c r="X4" s="5" t="s">
        <v>51</v>
      </c>
      <c r="Y4">
        <v>0.4</v>
      </c>
      <c r="Z4" s="5">
        <v>0</v>
      </c>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row>
    <row r="5" spans="1:58" ht="15.75" customHeight="1" x14ac:dyDescent="0.25">
      <c r="A5" s="8" t="s">
        <v>20</v>
      </c>
      <c r="B5" s="1" t="s">
        <v>3</v>
      </c>
      <c r="C5" s="5" t="s">
        <v>32</v>
      </c>
      <c r="D5">
        <v>42.5</v>
      </c>
      <c r="E5">
        <f t="shared" si="0"/>
        <v>3</v>
      </c>
      <c r="F5" s="5">
        <v>1</v>
      </c>
      <c r="G5">
        <v>1</v>
      </c>
      <c r="H5" s="5">
        <v>58.4</v>
      </c>
      <c r="I5">
        <v>58.4</v>
      </c>
      <c r="J5" s="5">
        <v>5</v>
      </c>
      <c r="K5" s="5" t="s">
        <v>33</v>
      </c>
      <c r="L5">
        <v>138.5</v>
      </c>
      <c r="M5">
        <f t="shared" si="1"/>
        <v>415.5</v>
      </c>
      <c r="N5" s="5">
        <v>2</v>
      </c>
      <c r="O5">
        <v>2</v>
      </c>
      <c r="P5">
        <f t="shared" si="2"/>
        <v>200</v>
      </c>
      <c r="Q5" s="6" t="s">
        <v>84</v>
      </c>
      <c r="R5">
        <v>77.5</v>
      </c>
      <c r="S5">
        <f t="shared" si="3"/>
        <v>232.5</v>
      </c>
      <c r="T5" s="6" t="s">
        <v>83</v>
      </c>
      <c r="U5">
        <v>450</v>
      </c>
      <c r="V5">
        <f t="shared" si="4"/>
        <v>1350</v>
      </c>
      <c r="W5" s="6">
        <v>0</v>
      </c>
      <c r="X5" s="6" t="s">
        <v>51</v>
      </c>
      <c r="Y5">
        <v>0.4</v>
      </c>
      <c r="Z5" s="5">
        <v>0</v>
      </c>
      <c r="AA5" s="2"/>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row>
    <row r="6" spans="1:58" ht="15.75" customHeight="1" x14ac:dyDescent="0.25">
      <c r="A6" s="8" t="s">
        <v>21</v>
      </c>
      <c r="B6" s="1" t="s">
        <v>75</v>
      </c>
      <c r="C6" s="5" t="s">
        <v>7</v>
      </c>
      <c r="D6">
        <v>45</v>
      </c>
      <c r="E6">
        <f t="shared" si="0"/>
        <v>3</v>
      </c>
      <c r="F6" s="5">
        <v>0.6</v>
      </c>
      <c r="G6">
        <v>0.6</v>
      </c>
      <c r="H6" s="5" t="s">
        <v>46</v>
      </c>
      <c r="I6">
        <v>47.5</v>
      </c>
      <c r="J6" s="5">
        <v>3</v>
      </c>
      <c r="K6" s="5" t="s">
        <v>16</v>
      </c>
      <c r="L6">
        <v>350</v>
      </c>
      <c r="M6">
        <f t="shared" si="1"/>
        <v>1050</v>
      </c>
      <c r="N6" s="5" t="s">
        <v>13</v>
      </c>
      <c r="O6">
        <v>5</v>
      </c>
      <c r="P6">
        <f t="shared" si="2"/>
        <v>500</v>
      </c>
      <c r="Q6" s="5">
        <v>55</v>
      </c>
      <c r="R6">
        <v>55</v>
      </c>
      <c r="S6">
        <f t="shared" si="3"/>
        <v>165</v>
      </c>
      <c r="T6" s="5">
        <v>260</v>
      </c>
      <c r="U6">
        <v>260</v>
      </c>
      <c r="V6">
        <f t="shared" si="4"/>
        <v>780</v>
      </c>
      <c r="W6" s="5">
        <v>2</v>
      </c>
      <c r="X6" s="5" t="s">
        <v>52</v>
      </c>
      <c r="Y6">
        <v>0.8</v>
      </c>
      <c r="Z6" s="5">
        <v>2</v>
      </c>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row>
    <row r="7" spans="1:58" ht="15.75" customHeight="1" x14ac:dyDescent="0.25">
      <c r="A7" s="8" t="s">
        <v>21</v>
      </c>
      <c r="B7" s="1" t="s">
        <v>43</v>
      </c>
      <c r="C7" s="5" t="s">
        <v>42</v>
      </c>
      <c r="D7">
        <v>35</v>
      </c>
      <c r="E7">
        <f t="shared" si="0"/>
        <v>3</v>
      </c>
      <c r="F7" s="5">
        <v>1</v>
      </c>
      <c r="G7">
        <v>1</v>
      </c>
      <c r="H7" s="5" t="s">
        <v>44</v>
      </c>
      <c r="I7">
        <v>57.5</v>
      </c>
      <c r="J7" s="5">
        <v>4</v>
      </c>
      <c r="K7" s="5" t="s">
        <v>78</v>
      </c>
      <c r="L7">
        <v>130</v>
      </c>
      <c r="M7">
        <f t="shared" si="1"/>
        <v>390</v>
      </c>
      <c r="N7" s="5" t="s">
        <v>13</v>
      </c>
      <c r="O7">
        <v>5</v>
      </c>
      <c r="P7">
        <f t="shared" si="2"/>
        <v>500</v>
      </c>
      <c r="Q7" s="5">
        <v>45</v>
      </c>
      <c r="R7">
        <v>45</v>
      </c>
      <c r="S7">
        <f t="shared" si="3"/>
        <v>135</v>
      </c>
      <c r="T7" s="5">
        <v>150</v>
      </c>
      <c r="U7">
        <v>150</v>
      </c>
      <c r="V7">
        <f t="shared" si="4"/>
        <v>450</v>
      </c>
      <c r="W7" s="5">
        <v>1</v>
      </c>
      <c r="X7" s="5" t="s">
        <v>50</v>
      </c>
      <c r="Y7">
        <v>0.6</v>
      </c>
      <c r="Z7" s="5">
        <v>2</v>
      </c>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row>
    <row r="8" spans="1:58" ht="15.5" customHeight="1" x14ac:dyDescent="0.25">
      <c r="A8" s="8" t="s">
        <v>21</v>
      </c>
      <c r="B8" s="1" t="s">
        <v>80</v>
      </c>
      <c r="C8" s="5" t="s">
        <v>8</v>
      </c>
      <c r="D8">
        <v>30</v>
      </c>
      <c r="E8">
        <f t="shared" si="0"/>
        <v>4</v>
      </c>
      <c r="F8" s="5">
        <v>0.35</v>
      </c>
      <c r="G8">
        <v>0.35</v>
      </c>
      <c r="H8" s="5">
        <v>46.5</v>
      </c>
      <c r="I8">
        <v>46.5</v>
      </c>
      <c r="J8" s="5">
        <v>3</v>
      </c>
      <c r="K8" s="5" t="s">
        <v>78</v>
      </c>
      <c r="L8">
        <v>125</v>
      </c>
      <c r="M8">
        <f t="shared" si="1"/>
        <v>500</v>
      </c>
      <c r="N8" s="5" t="s">
        <v>14</v>
      </c>
      <c r="O8">
        <v>7</v>
      </c>
      <c r="P8">
        <f t="shared" si="2"/>
        <v>700</v>
      </c>
      <c r="Q8" s="7">
        <v>45</v>
      </c>
      <c r="R8">
        <v>45</v>
      </c>
      <c r="S8">
        <f t="shared" si="3"/>
        <v>180</v>
      </c>
      <c r="T8" s="7">
        <v>150</v>
      </c>
      <c r="U8">
        <v>150</v>
      </c>
      <c r="V8">
        <f t="shared" si="4"/>
        <v>600</v>
      </c>
      <c r="W8" s="6">
        <v>1</v>
      </c>
      <c r="X8" s="6" t="s">
        <v>50</v>
      </c>
      <c r="Y8">
        <v>0.6</v>
      </c>
      <c r="Z8" s="5">
        <v>2</v>
      </c>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row>
    <row r="9" spans="1:58" ht="15.75" customHeight="1" x14ac:dyDescent="0.25">
      <c r="A9" s="8" t="s">
        <v>22</v>
      </c>
      <c r="B9" s="1" t="s">
        <v>4</v>
      </c>
      <c r="C9" s="5" t="s">
        <v>74</v>
      </c>
      <c r="D9">
        <v>12.5</v>
      </c>
      <c r="E9">
        <f t="shared" si="0"/>
        <v>8</v>
      </c>
      <c r="F9" s="5">
        <v>0.5</v>
      </c>
      <c r="G9">
        <v>0.5</v>
      </c>
      <c r="H9" s="5" t="s">
        <v>47</v>
      </c>
      <c r="I9">
        <v>46.5</v>
      </c>
      <c r="J9" s="5">
        <v>1</v>
      </c>
      <c r="K9" s="5" t="s">
        <v>79</v>
      </c>
      <c r="L9">
        <v>80</v>
      </c>
      <c r="M9">
        <f t="shared" si="1"/>
        <v>640</v>
      </c>
      <c r="N9" s="5" t="s">
        <v>13</v>
      </c>
      <c r="O9">
        <v>5</v>
      </c>
      <c r="P9">
        <f t="shared" si="2"/>
        <v>500</v>
      </c>
      <c r="Q9" s="5">
        <v>28</v>
      </c>
      <c r="R9">
        <v>28</v>
      </c>
      <c r="S9">
        <f t="shared" si="3"/>
        <v>224</v>
      </c>
      <c r="T9" s="5">
        <v>125</v>
      </c>
      <c r="U9">
        <v>125</v>
      </c>
      <c r="V9">
        <f t="shared" si="4"/>
        <v>1000</v>
      </c>
      <c r="W9" s="5">
        <v>2</v>
      </c>
      <c r="X9" s="5" t="s">
        <v>52</v>
      </c>
      <c r="Y9">
        <v>0.8</v>
      </c>
      <c r="Z9" s="5">
        <v>2</v>
      </c>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row>
    <row r="10" spans="1:58" ht="15.75" customHeight="1" x14ac:dyDescent="0.25">
      <c r="A10" s="8" t="s">
        <v>22</v>
      </c>
      <c r="B10" s="1" t="s">
        <v>5</v>
      </c>
      <c r="C10" s="5" t="s">
        <v>9</v>
      </c>
      <c r="D10">
        <v>15</v>
      </c>
      <c r="E10">
        <f t="shared" si="0"/>
        <v>7</v>
      </c>
      <c r="F10" s="5">
        <v>0.2</v>
      </c>
      <c r="G10">
        <v>0.2</v>
      </c>
      <c r="H10" s="5" t="s">
        <v>38</v>
      </c>
      <c r="I10">
        <v>49</v>
      </c>
      <c r="J10" s="5">
        <v>3</v>
      </c>
      <c r="K10" s="5" t="s">
        <v>40</v>
      </c>
      <c r="L10">
        <v>100</v>
      </c>
      <c r="M10">
        <f t="shared" si="1"/>
        <v>700</v>
      </c>
      <c r="N10" s="5" t="s">
        <v>13</v>
      </c>
      <c r="O10">
        <v>5</v>
      </c>
      <c r="P10">
        <f t="shared" si="2"/>
        <v>500</v>
      </c>
      <c r="Q10" s="7">
        <v>30</v>
      </c>
      <c r="R10">
        <v>30</v>
      </c>
      <c r="S10">
        <f t="shared" si="3"/>
        <v>210</v>
      </c>
      <c r="T10" s="7">
        <v>130</v>
      </c>
      <c r="U10">
        <v>130</v>
      </c>
      <c r="V10">
        <f t="shared" si="4"/>
        <v>910</v>
      </c>
      <c r="W10" s="5">
        <v>1</v>
      </c>
      <c r="X10" s="5" t="s">
        <v>52</v>
      </c>
      <c r="Y10">
        <v>0.8</v>
      </c>
      <c r="Z10" s="5">
        <v>1</v>
      </c>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row>
    <row r="11" spans="1:58" ht="15.5" customHeight="1" x14ac:dyDescent="0.25">
      <c r="A11" s="1" t="s">
        <v>22</v>
      </c>
      <c r="B11" s="1" t="s">
        <v>6</v>
      </c>
      <c r="C11" s="5" t="s">
        <v>10</v>
      </c>
      <c r="D11">
        <v>25</v>
      </c>
      <c r="E11">
        <f t="shared" si="0"/>
        <v>4</v>
      </c>
      <c r="F11" s="5" t="s">
        <v>18</v>
      </c>
      <c r="G11">
        <v>0.4</v>
      </c>
      <c r="H11" s="5" t="s">
        <v>39</v>
      </c>
      <c r="I11">
        <v>26</v>
      </c>
      <c r="J11" s="5">
        <v>3</v>
      </c>
      <c r="K11" s="5" t="s">
        <v>76</v>
      </c>
      <c r="L11">
        <v>145</v>
      </c>
      <c r="M11">
        <f t="shared" si="1"/>
        <v>580</v>
      </c>
      <c r="N11" s="5" t="s">
        <v>14</v>
      </c>
      <c r="O11">
        <v>7</v>
      </c>
      <c r="P11">
        <f t="shared" si="2"/>
        <v>700</v>
      </c>
      <c r="Q11" s="7">
        <v>53</v>
      </c>
      <c r="R11">
        <v>53</v>
      </c>
      <c r="S11">
        <f t="shared" si="3"/>
        <v>212</v>
      </c>
      <c r="T11" s="7">
        <v>180</v>
      </c>
      <c r="U11">
        <v>180</v>
      </c>
      <c r="V11">
        <f t="shared" si="4"/>
        <v>720</v>
      </c>
      <c r="W11" s="5">
        <v>1</v>
      </c>
      <c r="X11" s="5" t="s">
        <v>52</v>
      </c>
      <c r="Y11">
        <v>0.8</v>
      </c>
      <c r="Z11" s="5">
        <v>1</v>
      </c>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row>
    <row r="12" spans="1:58" ht="15.75" customHeight="1" x14ac:dyDescent="0.25">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row>
    <row r="13" spans="1:58" ht="15.75" customHeight="1" x14ac:dyDescent="0.25">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row>
    <row r="14" spans="1:58" ht="15.75" customHeight="1" x14ac:dyDescent="0.25">
      <c r="B14" s="1"/>
    </row>
    <row r="15" spans="1:58" ht="13" x14ac:dyDescent="0.3">
      <c r="A15" s="3"/>
      <c r="B15" s="9"/>
    </row>
    <row r="16" spans="1:58" ht="130.5" customHeight="1" x14ac:dyDescent="0.3">
      <c r="A16" s="3"/>
      <c r="B16" s="9"/>
    </row>
    <row r="17" spans="1:2" ht="13" x14ac:dyDescent="0.3">
      <c r="A17" s="3"/>
      <c r="B17" s="9"/>
    </row>
    <row r="18" spans="1:2" ht="77" customHeight="1" x14ac:dyDescent="0.3">
      <c r="A18" s="3"/>
      <c r="B18" s="9"/>
    </row>
    <row r="19" spans="1:2" ht="82" customHeight="1" x14ac:dyDescent="0.3">
      <c r="A19" s="3"/>
      <c r="B19" s="9"/>
    </row>
    <row r="20" spans="1:2" ht="34" customHeight="1" x14ac:dyDescent="0.3">
      <c r="A20" s="3"/>
      <c r="B20" s="9"/>
    </row>
    <row r="21" spans="1:2" ht="40" customHeight="1" x14ac:dyDescent="0.3">
      <c r="A21" s="3"/>
      <c r="B21" s="9"/>
    </row>
    <row r="22" spans="1:2" ht="73.5" customHeight="1" x14ac:dyDescent="0.3">
      <c r="A22" s="3"/>
      <c r="B22" s="9"/>
    </row>
    <row r="23" spans="1:2" ht="63.5" customHeight="1" x14ac:dyDescent="0.3">
      <c r="A23" s="3"/>
      <c r="B23" s="9"/>
    </row>
    <row r="24" spans="1:2" ht="167.5" customHeight="1" x14ac:dyDescent="0.3">
      <c r="A24" s="3"/>
      <c r="B24" s="9"/>
    </row>
    <row r="25" spans="1:2" ht="94.5" customHeight="1" x14ac:dyDescent="0.3">
      <c r="A25" s="4"/>
      <c r="B25" s="9"/>
    </row>
    <row r="26" spans="1:2" ht="141.5" customHeight="1" x14ac:dyDescent="0.3">
      <c r="A26" s="3"/>
      <c r="B26" s="9"/>
    </row>
    <row r="27" spans="1:2" ht="87" customHeight="1" x14ac:dyDescent="0.3">
      <c r="A27" s="3"/>
      <c r="B27" s="9"/>
    </row>
  </sheetData>
  <phoneticPr fontId="8" type="noConversion"/>
  <pageMargins left="0.7" right="0.7" top="0.78740157499999996" bottom="0.78740157499999996" header="0.3" footer="0.3"/>
  <pageSetup orientation="portrait" r:id="rId1"/>
  <ignoredErrors>
    <ignoredError sqref="C3 C9"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7BCA-B353-42F8-9383-0330F47B4AD1}">
  <dimension ref="A3:C14"/>
  <sheetViews>
    <sheetView topLeftCell="A12" workbookViewId="0">
      <selection activeCell="B13" sqref="B13"/>
    </sheetView>
  </sheetViews>
  <sheetFormatPr baseColWidth="10" defaultRowHeight="12.5" x14ac:dyDescent="0.25"/>
  <cols>
    <col min="1" max="1" width="39.08984375" bestFit="1" customWidth="1"/>
    <col min="2" max="2" width="45.81640625" customWidth="1"/>
  </cols>
  <sheetData>
    <row r="3" spans="1:3" ht="88.5" x14ac:dyDescent="0.3">
      <c r="A3" s="3" t="s">
        <v>45</v>
      </c>
      <c r="B3" s="9" t="s">
        <v>81</v>
      </c>
    </row>
    <row r="4" spans="1:3" ht="306.5" customHeight="1" x14ac:dyDescent="0.3">
      <c r="A4" s="3" t="s">
        <v>35</v>
      </c>
      <c r="B4" s="9" t="s">
        <v>82</v>
      </c>
      <c r="C4" s="2"/>
    </row>
    <row r="5" spans="1:3" ht="104.5" customHeight="1" x14ac:dyDescent="0.3">
      <c r="A5" s="3" t="s">
        <v>30</v>
      </c>
      <c r="B5" s="9" t="s">
        <v>48</v>
      </c>
    </row>
    <row r="6" spans="1:3" ht="270.5" customHeight="1" x14ac:dyDescent="0.3">
      <c r="A6" s="3" t="s">
        <v>58</v>
      </c>
      <c r="B6" s="9" t="s">
        <v>77</v>
      </c>
    </row>
    <row r="7" spans="1:3" ht="85" customHeight="1" x14ac:dyDescent="0.3">
      <c r="A7" s="3" t="s">
        <v>62</v>
      </c>
      <c r="B7" s="9" t="s">
        <v>53</v>
      </c>
    </row>
    <row r="8" spans="1:3" ht="188" x14ac:dyDescent="0.3">
      <c r="A8" s="3" t="s">
        <v>27</v>
      </c>
      <c r="B8" s="9" t="s">
        <v>87</v>
      </c>
    </row>
    <row r="9" spans="1:3" ht="225.5" x14ac:dyDescent="0.3">
      <c r="A9" s="3" t="s">
        <v>26</v>
      </c>
      <c r="B9" s="9" t="s">
        <v>88</v>
      </c>
    </row>
    <row r="10" spans="1:3" ht="263" x14ac:dyDescent="0.3">
      <c r="A10" s="3" t="s">
        <v>24</v>
      </c>
      <c r="B10" s="9" t="s">
        <v>89</v>
      </c>
    </row>
    <row r="11" spans="1:3" ht="250.5" x14ac:dyDescent="0.3">
      <c r="A11" s="3" t="s">
        <v>25</v>
      </c>
      <c r="B11" s="9" t="s">
        <v>90</v>
      </c>
    </row>
    <row r="12" spans="1:3" ht="213" x14ac:dyDescent="0.3">
      <c r="A12" s="3" t="s">
        <v>56</v>
      </c>
      <c r="B12" s="9" t="s">
        <v>85</v>
      </c>
    </row>
    <row r="13" spans="1:3" ht="144" customHeight="1" x14ac:dyDescent="0.3">
      <c r="A13" s="4" t="s">
        <v>57</v>
      </c>
      <c r="B13" s="9" t="s">
        <v>49</v>
      </c>
    </row>
    <row r="14" spans="1:3" ht="205.5" customHeight="1" x14ac:dyDescent="0.3">
      <c r="A14" s="3" t="s">
        <v>0</v>
      </c>
      <c r="B14" s="9" t="s">
        <v>54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Rohdaten_Belaege</vt:lpstr>
      <vt:lpstr>Herleitung_Quellen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Pfeiffer</dc:creator>
  <cp:lastModifiedBy>Pfeiffer Sarah (pfeifsar)</cp:lastModifiedBy>
  <dcterms:created xsi:type="dcterms:W3CDTF">2025-10-03T12:57:51Z</dcterms:created>
  <dcterms:modified xsi:type="dcterms:W3CDTF">2025-11-21T14:54:39Z</dcterms:modified>
</cp:coreProperties>
</file>