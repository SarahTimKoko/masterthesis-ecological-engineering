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146" documentId="8_{E9D6D6FE-F378-4AF9-A02F-B79ECDA22C50}" xr6:coauthVersionLast="47" xr6:coauthVersionMax="47" xr10:uidLastSave="{24A22741-E124-4670-82A6-92B6E8129C57}"/>
  <bookViews>
    <workbookView xWindow="-90" yWindow="0" windowWidth="9780" windowHeight="1137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 i="2" l="1"/>
  <c r="V5" i="2"/>
  <c r="V6" i="2"/>
  <c r="V7" i="2"/>
  <c r="V8" i="2"/>
  <c r="V9" i="2"/>
  <c r="V10" i="2"/>
  <c r="V11" i="2"/>
  <c r="V2" i="2"/>
  <c r="S6" i="2"/>
  <c r="S8" i="2"/>
  <c r="S9"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3" i="2" l="1"/>
  <c r="S10" i="2"/>
  <c r="M5" i="2"/>
  <c r="S3" i="2"/>
  <c r="S4" i="2"/>
</calcChain>
</file>

<file path=xl/sharedStrings.xml><?xml version="1.0" encoding="utf-8"?>
<sst xmlns="http://schemas.openxmlformats.org/spreadsheetml/2006/main" count="137" uniqueCount="110">
  <si>
    <t>Modulare Erneuerbarkeit</t>
  </si>
  <si>
    <t>Sickerasphalt</t>
  </si>
  <si>
    <t>Heller Asphalt</t>
  </si>
  <si>
    <t>Selbstheilender Asphalt</t>
  </si>
  <si>
    <t>Chaussierung</t>
  </si>
  <si>
    <t>Kiesrasen</t>
  </si>
  <si>
    <t>Rasengittersteine</t>
  </si>
  <si>
    <t>40–50</t>
  </si>
  <si>
    <t>25–35</t>
  </si>
  <si>
    <t>15–20</t>
  </si>
  <si>
    <t>10–20</t>
  </si>
  <si>
    <t>20–30</t>
  </si>
  <si>
    <t>3–5</t>
  </si>
  <si>
    <t>5–8</t>
  </si>
  <si>
    <t>4–6</t>
  </si>
  <si>
    <t>5–7</t>
  </si>
  <si>
    <t>6–8</t>
  </si>
  <si>
    <t>2–4</t>
  </si>
  <si>
    <t>8–10</t>
  </si>
  <si>
    <t>&gt;100</t>
  </si>
  <si>
    <t>100–120</t>
  </si>
  <si>
    <t>315–385</t>
  </si>
  <si>
    <t>100–150</t>
  </si>
  <si>
    <t>40–60</t>
  </si>
  <si>
    <t>70–120</t>
  </si>
  <si>
    <t>80–120</t>
  </si>
  <si>
    <t>0.3–0.4</t>
  </si>
  <si>
    <t>0.3–0.5</t>
  </si>
  <si>
    <t>Belagsart</t>
  </si>
  <si>
    <t>Asphalt</t>
  </si>
  <si>
    <t>Pflaster</t>
  </si>
  <si>
    <t>Sickerbeläge</t>
  </si>
  <si>
    <t>Belagskategorie</t>
  </si>
  <si>
    <t>Ökobilanz - CO₂-Emissionen [kg CO₂-eq/m²]</t>
  </si>
  <si>
    <t>Ökobilanz - Graue Energie [kWh/m²]</t>
  </si>
  <si>
    <t>150-200</t>
  </si>
  <si>
    <t>80-120</t>
  </si>
  <si>
    <t>125-150</t>
  </si>
  <si>
    <t>Unterhaltskosten [CHF/m²a]</t>
  </si>
  <si>
    <t>Kosten [CHF/m²]</t>
  </si>
  <si>
    <t>Versickerungs-Leistung [ψ]</t>
  </si>
  <si>
    <t>Lebensdauer [a]</t>
  </si>
  <si>
    <t>Versickerungsleistung [ψ]</t>
  </si>
  <si>
    <t>Lokale Materialien [%]</t>
  </si>
  <si>
    <t>40-45</t>
  </si>
  <si>
    <t>115–160</t>
  </si>
  <si>
    <t>65-80</t>
  </si>
  <si>
    <t>350-400</t>
  </si>
  <si>
    <t>Recyclingasphalt</t>
  </si>
  <si>
    <t>Lebensdauer</t>
  </si>
  <si>
    <t>55–56</t>
  </si>
  <si>
    <t>53–55</t>
  </si>
  <si>
    <t>48–52</t>
  </si>
  <si>
    <t>48–50</t>
  </si>
  <si>
    <t>45–48</t>
  </si>
  <si>
    <t>90-110</t>
  </si>
  <si>
    <t>20-25</t>
  </si>
  <si>
    <t>&lt;58.4</t>
  </si>
  <si>
    <t>50-60</t>
  </si>
  <si>
    <t>55-65</t>
  </si>
  <si>
    <t>15-20</t>
  </si>
  <si>
    <t>60-80</t>
  </si>
  <si>
    <t>260-280</t>
  </si>
  <si>
    <t>120-150</t>
  </si>
  <si>
    <t>280-310</t>
  </si>
  <si>
    <t>30-40</t>
  </si>
  <si>
    <t>Natursteinpflaster (6-10 mm Fugen)</t>
  </si>
  <si>
    <t>Ökopflaster (sickerfähig, 6-10 mm Fugen)</t>
  </si>
  <si>
    <t>Betonpflastersteine (geschlossen, 2-4 mm Fugen)</t>
  </si>
  <si>
    <t>55-60</t>
  </si>
  <si>
    <t>Herleitung</t>
  </si>
  <si>
    <t>45-50</t>
  </si>
  <si>
    <t>45-48</t>
  </si>
  <si>
    <t>Treibhausgasemissionen für Herstellung (inkl. Transport, Bindemittel etc.), Kennwerte aus KBOB-Datensatz v7.0 (2024) - Oekobilanzdaten_Baubereich, Energie- und Treibhausgaswerte für CH-Mix, verifiziert mit Stadt Zürich 2022 - Grobökobilanz von Freiraumelementen</t>
  </si>
  <si>
    <t>nicht-erneuerbare Primärenergiebedarf bei Herstellung, Kennwerte aus Kennwerte aus KBOB-Datensatz v7.0 (2024) - Oekobilanzdaten_Baubereich, verifiziert mit Stadt Zürich 2022 - Grobökobilanz von Freiraumelementen</t>
  </si>
  <si>
    <t>Die  Oberflächentemperaturen wurden aus Simulationen und Feldmessungen der Stadt Zürich (2022) - Grobökobilanz von Freiraumelementen und Xu (2018) abgeleitet, ergänzt durch Werte aus Yan (2025) zur thermischen Reflexion heller Asphaltmischungen. Als Referenzwert galt der Oberflechentemperaturwert von Asphalt von 58.4°C</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</si>
  <si>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KBOB v7.0, Xu 2018, Yan 2025, Wan 2023, Kappel (2016) - Angewandter Strassenbau</t>
    </r>
  </si>
  <si>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</si>
  <si>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Angaben aus Stadt Zürich 2022 - Grobökobilanz von Freiraumelementen, verifiziert Schwammstadt Labor Zürich et al. 2025 und Kappel (2016)</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</si>
  <si>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</si>
  <si>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</si>
  <si>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</si>
  <si>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</si>
  <si>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</si>
  <si>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</si>
  <si>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</si>
  <si>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</si>
  <si>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</si>
  <si>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</si>
  <si>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</si>
  <si>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</si>
  <si>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</si>
  <si>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</si>
  <si>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</si>
  <si>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</si>
  <si>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</si>
  <si>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</si>
  <si>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</si>
  <si>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</si>
  <si>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330-360</t>
  </si>
  <si>
    <t>Lebensdauer MW [a]</t>
  </si>
  <si>
    <t>Versickerungs-Leistung MW [ψ]</t>
  </si>
  <si>
    <t xml:space="preserve">Oberflächentemperatur MW [°C] </t>
  </si>
  <si>
    <t>Kosten MW [CHF/m²]</t>
  </si>
  <si>
    <t>Unterhaltskosten MW [CHF/m²a]</t>
  </si>
  <si>
    <t>CO₂-Emissionen MW [kg CO₂-eq/m²]</t>
  </si>
  <si>
    <t>Graue Energie MW [kWh/m²]</t>
  </si>
  <si>
    <t>10-15</t>
  </si>
  <si>
    <r>
      <t xml:space="preserve">Die Lebensdauer der Beläge wurde in Anlehnung an die Grobökobilanz von Freiraumelementen (Stadt Zürich, 2022) sowie die KBOB-Ökobilanzdaten 2009/1:2022 (v7.0) definiert. Ergänzende Werte zu innovativen Asphalt- und Pflasterbelägen wurden aus Xu (2018) und Yan (2025) übernommen, die die erhöhte Lebensdauer temperatur- und bindemitteloptimierter Mischungen belegen. Für ungebundene und sickerfähige Beläge wurden kürzere Nutzungszeiten nach empirischen Beobachtungen des Schwammstadt Labors Zürich et al. (2025) angesetzt. </t>
    </r>
    <r>
      <rPr>
        <b/>
        <sz val="10"/>
        <color rgb="FFFF0000"/>
        <rFont val="Arial"/>
        <family val="2"/>
        <scheme val="minor"/>
      </rPr>
      <t>Offenporiger (Sickerasphalt gemäss Kappel 2016)</t>
    </r>
  </si>
  <si>
    <t xml:space="preserve">Recycling Asphalt: Grobökobilanz, Sickerasphalt: Kappel (2026), Heller Asphalt: Grobökobilanz, Selbstheilenderasphalt: Abgeletet von Garcia et al (2009) (verdoppelt Lebensdauer). Betonpflaster: ökobilanz Natrusteinpflaser: Grobökobilanz,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</si>
</sst>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
      <b/>
      <sz val="10"/>
      <color rgb="FFFF0000"/>
      <name val="Arial"/>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2" fillId="0" borderId="0"/>
    <xf numFmtId="0" fontId="1" fillId="0" borderId="0"/>
  </cellStyleXfs>
  <cellXfs count="12">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xf numFmtId="0" fontId="3" fillId="2" borderId="0" xfId="0" applyFont="1" applyFill="1"/>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AA1" workbookViewId="0">
      <selection activeCell="AA3" sqref="AA3"/>
    </sheetView>
  </sheetViews>
  <sheetFormatPr baseColWidth="10" defaultColWidth="12.6328125" defaultRowHeight="15.75" customHeight="1" x14ac:dyDescent="0.25"/>
  <cols>
    <col min="1" max="1" width="54.26953125" customWidth="1"/>
    <col min="2" max="2" width="58.90625" customWidth="1"/>
    <col min="3" max="3" width="15" customWidth="1"/>
    <col min="4" max="4" width="19.36328125" bestFit="1" customWidth="1"/>
    <col min="5" max="5" width="25.7265625" bestFit="1"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32</v>
      </c>
      <c r="B1" s="4" t="s">
        <v>28</v>
      </c>
      <c r="C1" s="4" t="s">
        <v>41</v>
      </c>
      <c r="D1" s="4" t="s">
        <v>100</v>
      </c>
      <c r="E1" s="4" t="s">
        <v>94</v>
      </c>
      <c r="F1" s="4" t="s">
        <v>40</v>
      </c>
      <c r="G1" s="4" t="s">
        <v>101</v>
      </c>
      <c r="H1" s="4" t="s">
        <v>89</v>
      </c>
      <c r="I1" s="4" t="s">
        <v>102</v>
      </c>
      <c r="J1" s="4" t="s">
        <v>93</v>
      </c>
      <c r="K1" s="4" t="s">
        <v>39</v>
      </c>
      <c r="L1" s="4" t="s">
        <v>103</v>
      </c>
      <c r="M1" s="4" t="s">
        <v>96</v>
      </c>
      <c r="N1" s="4" t="s">
        <v>38</v>
      </c>
      <c r="O1" s="4" t="s">
        <v>104</v>
      </c>
      <c r="P1" s="4" t="s">
        <v>95</v>
      </c>
      <c r="Q1" s="4" t="s">
        <v>90</v>
      </c>
      <c r="R1" s="4" t="s">
        <v>105</v>
      </c>
      <c r="S1" s="4" t="s">
        <v>97</v>
      </c>
      <c r="T1" s="4" t="s">
        <v>91</v>
      </c>
      <c r="U1" s="4" t="s">
        <v>106</v>
      </c>
      <c r="V1" s="4" t="s">
        <v>98</v>
      </c>
      <c r="W1" s="4" t="s">
        <v>86</v>
      </c>
      <c r="X1" s="4" t="s">
        <v>43</v>
      </c>
      <c r="Y1" s="4" t="s">
        <v>92</v>
      </c>
      <c r="Z1" s="4" t="s">
        <v>85</v>
      </c>
      <c r="AA1" s="4"/>
    </row>
    <row r="2" spans="1:58" ht="15.75" customHeight="1" x14ac:dyDescent="0.25">
      <c r="A2" s="1" t="s">
        <v>29</v>
      </c>
      <c r="B2" s="1" t="s">
        <v>48</v>
      </c>
      <c r="C2" s="5" t="s">
        <v>56</v>
      </c>
      <c r="D2">
        <v>22.5</v>
      </c>
      <c r="E2">
        <f>ROUNDUP(100/D2,0)</f>
        <v>5</v>
      </c>
      <c r="F2" s="5">
        <v>1</v>
      </c>
      <c r="G2">
        <v>1</v>
      </c>
      <c r="H2" s="5">
        <v>58.4</v>
      </c>
      <c r="I2">
        <v>58.4</v>
      </c>
      <c r="J2" s="5">
        <v>5</v>
      </c>
      <c r="K2" s="5" t="s">
        <v>55</v>
      </c>
      <c r="L2">
        <v>100</v>
      </c>
      <c r="M2">
        <f>E2*L2</f>
        <v>500</v>
      </c>
      <c r="N2" s="5" t="s">
        <v>12</v>
      </c>
      <c r="O2">
        <v>4</v>
      </c>
      <c r="P2">
        <f>O2*100</f>
        <v>400</v>
      </c>
      <c r="Q2" s="7">
        <v>45</v>
      </c>
      <c r="R2">
        <v>45</v>
      </c>
      <c r="S2">
        <f>E2*R2</f>
        <v>225</v>
      </c>
      <c r="T2" s="5" t="s">
        <v>64</v>
      </c>
      <c r="U2">
        <v>295</v>
      </c>
      <c r="V2">
        <f>E2*U2</f>
        <v>1475</v>
      </c>
      <c r="W2" s="5">
        <v>2</v>
      </c>
      <c r="X2" s="5" t="s">
        <v>80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29</v>
      </c>
      <c r="B3" s="1" t="s">
        <v>1</v>
      </c>
      <c r="C3" s="10" t="s">
        <v>107</v>
      </c>
      <c r="D3">
        <v>12.5</v>
      </c>
      <c r="E3">
        <f t="shared" ref="E3:E11" si="0">ROUNDUP(100/D3,0)</f>
        <v>8</v>
      </c>
      <c r="F3" s="5" t="s">
        <v>26</v>
      </c>
      <c r="G3">
        <v>0.35</v>
      </c>
      <c r="H3" s="5" t="s">
        <v>50</v>
      </c>
      <c r="I3">
        <v>55.5</v>
      </c>
      <c r="J3" s="5">
        <v>3</v>
      </c>
      <c r="K3" s="5" t="s">
        <v>19</v>
      </c>
      <c r="L3">
        <v>100</v>
      </c>
      <c r="M3">
        <f t="shared" ref="M3:M11" si="1">E3*L3</f>
        <v>800</v>
      </c>
      <c r="N3" s="5" t="s">
        <v>13</v>
      </c>
      <c r="O3">
        <v>6.5</v>
      </c>
      <c r="P3">
        <f t="shared" ref="P3:P11" si="2">O3*100</f>
        <v>650</v>
      </c>
      <c r="Q3" s="5">
        <v>60</v>
      </c>
      <c r="R3">
        <v>60</v>
      </c>
      <c r="S3">
        <f t="shared" ref="S3:S11" si="3">E3*R3</f>
        <v>480</v>
      </c>
      <c r="T3" s="6" t="s">
        <v>99</v>
      </c>
      <c r="U3">
        <v>345</v>
      </c>
      <c r="V3">
        <f t="shared" ref="V3:V11" si="4">E3*U3</f>
        <v>2760</v>
      </c>
      <c r="W3" s="5">
        <v>1</v>
      </c>
      <c r="X3" s="5" t="s">
        <v>80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29</v>
      </c>
      <c r="B4" s="1" t="s">
        <v>2</v>
      </c>
      <c r="C4" s="5" t="s">
        <v>9</v>
      </c>
      <c r="D4">
        <v>17.5</v>
      </c>
      <c r="E4">
        <f t="shared" si="0"/>
        <v>6</v>
      </c>
      <c r="F4" s="5">
        <v>1</v>
      </c>
      <c r="G4">
        <v>1</v>
      </c>
      <c r="H4" s="5" t="s">
        <v>51</v>
      </c>
      <c r="I4">
        <v>54</v>
      </c>
      <c r="J4" s="5">
        <v>5</v>
      </c>
      <c r="K4" s="5" t="s">
        <v>20</v>
      </c>
      <c r="L4">
        <v>110</v>
      </c>
      <c r="M4">
        <f t="shared" si="1"/>
        <v>660</v>
      </c>
      <c r="N4" s="5" t="s">
        <v>12</v>
      </c>
      <c r="O4">
        <v>4</v>
      </c>
      <c r="P4">
        <f t="shared" si="2"/>
        <v>400</v>
      </c>
      <c r="Q4" s="7">
        <v>50</v>
      </c>
      <c r="R4">
        <v>50</v>
      </c>
      <c r="S4">
        <f t="shared" si="3"/>
        <v>300</v>
      </c>
      <c r="T4" s="5">
        <v>331</v>
      </c>
      <c r="U4">
        <v>331</v>
      </c>
      <c r="V4">
        <f t="shared" si="4"/>
        <v>1986</v>
      </c>
      <c r="W4" s="5">
        <v>1</v>
      </c>
      <c r="X4" s="5" t="s">
        <v>81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29</v>
      </c>
      <c r="B5" s="1" t="s">
        <v>3</v>
      </c>
      <c r="C5" s="5" t="s">
        <v>44</v>
      </c>
      <c r="D5">
        <v>42.5</v>
      </c>
      <c r="E5">
        <f t="shared" si="0"/>
        <v>3</v>
      </c>
      <c r="F5" s="5">
        <v>1</v>
      </c>
      <c r="G5">
        <v>1</v>
      </c>
      <c r="H5" s="5" t="s">
        <v>57</v>
      </c>
      <c r="I5">
        <v>58.4</v>
      </c>
      <c r="J5" s="5">
        <v>5</v>
      </c>
      <c r="K5" s="5" t="s">
        <v>45</v>
      </c>
      <c r="L5">
        <v>138.5</v>
      </c>
      <c r="M5">
        <f t="shared" si="1"/>
        <v>415.5</v>
      </c>
      <c r="N5" s="5">
        <v>2</v>
      </c>
      <c r="O5">
        <v>2</v>
      </c>
      <c r="P5">
        <f t="shared" si="2"/>
        <v>200</v>
      </c>
      <c r="Q5" s="6" t="s">
        <v>46</v>
      </c>
      <c r="R5">
        <v>72.5</v>
      </c>
      <c r="S5">
        <f t="shared" si="3"/>
        <v>217.5</v>
      </c>
      <c r="T5" s="6" t="s">
        <v>47</v>
      </c>
      <c r="U5">
        <v>375</v>
      </c>
      <c r="V5">
        <f t="shared" si="4"/>
        <v>1125</v>
      </c>
      <c r="W5" s="6">
        <v>0</v>
      </c>
      <c r="X5" s="6" t="s">
        <v>81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30</v>
      </c>
      <c r="B6" s="1" t="s">
        <v>66</v>
      </c>
      <c r="C6" s="5" t="s">
        <v>7</v>
      </c>
      <c r="D6">
        <v>45</v>
      </c>
      <c r="E6">
        <f t="shared" si="0"/>
        <v>3</v>
      </c>
      <c r="F6" s="5">
        <v>0.6</v>
      </c>
      <c r="G6">
        <v>0.6</v>
      </c>
      <c r="H6" s="5" t="s">
        <v>71</v>
      </c>
      <c r="I6">
        <v>47.5</v>
      </c>
      <c r="J6" s="5">
        <v>3</v>
      </c>
      <c r="K6" s="5" t="s">
        <v>21</v>
      </c>
      <c r="L6">
        <v>350</v>
      </c>
      <c r="M6">
        <f t="shared" si="1"/>
        <v>1050</v>
      </c>
      <c r="N6" s="5" t="s">
        <v>14</v>
      </c>
      <c r="O6">
        <v>5</v>
      </c>
      <c r="P6">
        <f t="shared" si="2"/>
        <v>500</v>
      </c>
      <c r="Q6" s="5" t="s">
        <v>59</v>
      </c>
      <c r="R6">
        <v>60</v>
      </c>
      <c r="S6">
        <f t="shared" si="3"/>
        <v>180</v>
      </c>
      <c r="T6" s="5" t="s">
        <v>62</v>
      </c>
      <c r="U6">
        <v>270</v>
      </c>
      <c r="V6">
        <f t="shared" si="4"/>
        <v>810</v>
      </c>
      <c r="W6" s="5">
        <v>2</v>
      </c>
      <c r="X6" s="5" t="s">
        <v>82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30</v>
      </c>
      <c r="B7" s="1" t="s">
        <v>68</v>
      </c>
      <c r="C7" s="5" t="s">
        <v>65</v>
      </c>
      <c r="D7">
        <v>35</v>
      </c>
      <c r="E7">
        <f t="shared" si="0"/>
        <v>3</v>
      </c>
      <c r="F7" s="5">
        <v>1</v>
      </c>
      <c r="G7">
        <v>1</v>
      </c>
      <c r="H7" s="5" t="s">
        <v>69</v>
      </c>
      <c r="I7">
        <v>57.5</v>
      </c>
      <c r="J7" s="5">
        <v>4</v>
      </c>
      <c r="K7" s="5" t="s">
        <v>55</v>
      </c>
      <c r="L7">
        <v>100</v>
      </c>
      <c r="M7">
        <f t="shared" si="1"/>
        <v>300</v>
      </c>
      <c r="N7" s="5" t="s">
        <v>12</v>
      </c>
      <c r="O7">
        <v>4</v>
      </c>
      <c r="P7">
        <f t="shared" si="2"/>
        <v>400</v>
      </c>
      <c r="Q7" s="5" t="s">
        <v>58</v>
      </c>
      <c r="R7">
        <v>55</v>
      </c>
      <c r="S7">
        <f t="shared" si="3"/>
        <v>165</v>
      </c>
      <c r="T7" s="5" t="s">
        <v>63</v>
      </c>
      <c r="U7">
        <v>135</v>
      </c>
      <c r="V7">
        <f t="shared" si="4"/>
        <v>405</v>
      </c>
      <c r="W7" s="5">
        <v>1</v>
      </c>
      <c r="X7" s="5" t="s">
        <v>80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30</v>
      </c>
      <c r="B8" s="11" t="s">
        <v>67</v>
      </c>
      <c r="C8" s="5" t="s">
        <v>8</v>
      </c>
      <c r="D8">
        <v>30</v>
      </c>
      <c r="E8">
        <f t="shared" si="0"/>
        <v>4</v>
      </c>
      <c r="F8" s="5">
        <v>0.35</v>
      </c>
      <c r="G8">
        <v>0.35</v>
      </c>
      <c r="H8" s="5" t="s">
        <v>52</v>
      </c>
      <c r="I8">
        <v>50</v>
      </c>
      <c r="J8" s="5">
        <v>3</v>
      </c>
      <c r="K8" s="5" t="s">
        <v>22</v>
      </c>
      <c r="L8">
        <v>125</v>
      </c>
      <c r="M8">
        <f t="shared" si="1"/>
        <v>500</v>
      </c>
      <c r="N8" s="5" t="s">
        <v>16</v>
      </c>
      <c r="O8">
        <v>7</v>
      </c>
      <c r="P8">
        <f t="shared" si="2"/>
        <v>700</v>
      </c>
      <c r="Q8" s="7" t="s">
        <v>23</v>
      </c>
      <c r="R8">
        <v>50</v>
      </c>
      <c r="S8">
        <f t="shared" si="3"/>
        <v>200</v>
      </c>
      <c r="T8" s="7" t="s">
        <v>35</v>
      </c>
      <c r="U8">
        <v>175</v>
      </c>
      <c r="V8">
        <f t="shared" si="4"/>
        <v>700</v>
      </c>
      <c r="W8" s="6">
        <v>1</v>
      </c>
      <c r="X8" s="6" t="s">
        <v>80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31</v>
      </c>
      <c r="B9" s="1" t="s">
        <v>4</v>
      </c>
      <c r="C9" s="5" t="s">
        <v>9</v>
      </c>
      <c r="D9">
        <v>17.5</v>
      </c>
      <c r="E9">
        <f t="shared" si="0"/>
        <v>6</v>
      </c>
      <c r="F9" s="5">
        <v>0.5</v>
      </c>
      <c r="G9">
        <v>0.5</v>
      </c>
      <c r="H9" s="5" t="s">
        <v>72</v>
      </c>
      <c r="I9">
        <v>46.5</v>
      </c>
      <c r="J9" s="5">
        <v>1</v>
      </c>
      <c r="K9" s="5" t="s">
        <v>23</v>
      </c>
      <c r="L9">
        <v>50</v>
      </c>
      <c r="M9">
        <f t="shared" si="1"/>
        <v>300</v>
      </c>
      <c r="N9" s="5" t="s">
        <v>17</v>
      </c>
      <c r="O9">
        <v>3</v>
      </c>
      <c r="P9">
        <f t="shared" si="2"/>
        <v>300</v>
      </c>
      <c r="Q9" s="5" t="s">
        <v>60</v>
      </c>
      <c r="R9">
        <v>17.5</v>
      </c>
      <c r="S9">
        <f t="shared" si="3"/>
        <v>105</v>
      </c>
      <c r="T9" s="5" t="s">
        <v>61</v>
      </c>
      <c r="U9">
        <v>70</v>
      </c>
      <c r="V9">
        <f t="shared" si="4"/>
        <v>420</v>
      </c>
      <c r="W9" s="5">
        <v>2</v>
      </c>
      <c r="X9" s="5" t="s">
        <v>82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31</v>
      </c>
      <c r="B10" s="1" t="s">
        <v>5</v>
      </c>
      <c r="C10" s="5" t="s">
        <v>10</v>
      </c>
      <c r="D10">
        <v>15</v>
      </c>
      <c r="E10">
        <f t="shared" si="0"/>
        <v>7</v>
      </c>
      <c r="F10" s="5">
        <v>0.2</v>
      </c>
      <c r="G10">
        <v>0.2</v>
      </c>
      <c r="H10" s="5" t="s">
        <v>53</v>
      </c>
      <c r="I10">
        <v>49</v>
      </c>
      <c r="J10" s="5">
        <v>3</v>
      </c>
      <c r="K10" s="5" t="s">
        <v>24</v>
      </c>
      <c r="L10">
        <v>95</v>
      </c>
      <c r="M10">
        <f t="shared" si="1"/>
        <v>665</v>
      </c>
      <c r="N10" s="5" t="s">
        <v>18</v>
      </c>
      <c r="O10">
        <v>9</v>
      </c>
      <c r="P10">
        <f t="shared" si="2"/>
        <v>900</v>
      </c>
      <c r="Q10" s="7" t="s">
        <v>11</v>
      </c>
      <c r="R10">
        <v>25</v>
      </c>
      <c r="S10">
        <f t="shared" si="3"/>
        <v>175</v>
      </c>
      <c r="T10" s="7" t="s">
        <v>36</v>
      </c>
      <c r="U10">
        <v>100</v>
      </c>
      <c r="V10">
        <f t="shared" si="4"/>
        <v>700</v>
      </c>
      <c r="W10" s="5">
        <v>1</v>
      </c>
      <c r="X10" s="5" t="s">
        <v>82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75" customHeight="1" x14ac:dyDescent="0.25">
      <c r="A11" s="8" t="s">
        <v>31</v>
      </c>
      <c r="B11" s="1" t="s">
        <v>6</v>
      </c>
      <c r="C11" s="5" t="s">
        <v>11</v>
      </c>
      <c r="D11">
        <v>25</v>
      </c>
      <c r="E11">
        <f t="shared" si="0"/>
        <v>4</v>
      </c>
      <c r="F11" s="5" t="s">
        <v>27</v>
      </c>
      <c r="G11">
        <v>0.4</v>
      </c>
      <c r="H11" s="5" t="s">
        <v>54</v>
      </c>
      <c r="I11">
        <v>26</v>
      </c>
      <c r="J11" s="5">
        <v>3</v>
      </c>
      <c r="K11" s="5" t="s">
        <v>25</v>
      </c>
      <c r="L11">
        <v>100</v>
      </c>
      <c r="M11">
        <f t="shared" si="1"/>
        <v>400</v>
      </c>
      <c r="N11" s="5" t="s">
        <v>15</v>
      </c>
      <c r="O11">
        <v>6</v>
      </c>
      <c r="P11">
        <f t="shared" si="2"/>
        <v>600</v>
      </c>
      <c r="Q11" s="7" t="s">
        <v>7</v>
      </c>
      <c r="R11">
        <v>45</v>
      </c>
      <c r="S11">
        <f t="shared" si="3"/>
        <v>180</v>
      </c>
      <c r="T11" s="7" t="s">
        <v>37</v>
      </c>
      <c r="U11">
        <v>137.5</v>
      </c>
      <c r="V11">
        <f t="shared" si="4"/>
        <v>550</v>
      </c>
      <c r="W11" s="5">
        <v>1</v>
      </c>
      <c r="X11" s="5" t="s">
        <v>82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ignoredErrors>
    <ignoredError sqref="C3"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B1" workbookViewId="0">
      <selection activeCell="D4" sqref="D4"/>
    </sheetView>
  </sheetViews>
  <sheetFormatPr baseColWidth="10" defaultRowHeight="12.5" x14ac:dyDescent="0.25"/>
  <cols>
    <col min="1" max="1" width="39.08984375" bestFit="1" customWidth="1"/>
    <col min="2" max="2" width="45.81640625" customWidth="1"/>
  </cols>
  <sheetData>
    <row r="3" spans="1:3" ht="51" x14ac:dyDescent="0.3">
      <c r="A3" s="3" t="s">
        <v>70</v>
      </c>
      <c r="B3" s="9" t="s">
        <v>76</v>
      </c>
    </row>
    <row r="4" spans="1:3" ht="161.5" customHeight="1" x14ac:dyDescent="0.3">
      <c r="A4" s="3" t="s">
        <v>49</v>
      </c>
      <c r="B4" s="9" t="s">
        <v>108</v>
      </c>
      <c r="C4" s="2" t="s">
        <v>109</v>
      </c>
    </row>
    <row r="5" spans="1:3" ht="104.5" customHeight="1" x14ac:dyDescent="0.3">
      <c r="A5" s="3" t="s">
        <v>42</v>
      </c>
      <c r="B5" s="9" t="s">
        <v>77</v>
      </c>
    </row>
    <row r="6" spans="1:3" ht="133" customHeight="1" x14ac:dyDescent="0.3">
      <c r="A6" s="3" t="s">
        <v>89</v>
      </c>
      <c r="B6" s="9" t="s">
        <v>75</v>
      </c>
    </row>
    <row r="7" spans="1:3" ht="85" customHeight="1" x14ac:dyDescent="0.3">
      <c r="A7" s="3" t="s">
        <v>93</v>
      </c>
      <c r="B7" s="9" t="s">
        <v>83</v>
      </c>
    </row>
    <row r="8" spans="1:3" ht="55.5" customHeight="1" x14ac:dyDescent="0.3">
      <c r="A8" s="3" t="s">
        <v>39</v>
      </c>
      <c r="B8" s="9" t="s">
        <v>78</v>
      </c>
    </row>
    <row r="9" spans="1:3" ht="55.5" customHeight="1" x14ac:dyDescent="0.3">
      <c r="A9" s="3" t="s">
        <v>38</v>
      </c>
      <c r="B9" s="9" t="s">
        <v>78</v>
      </c>
    </row>
    <row r="10" spans="1:3" ht="75.5" x14ac:dyDescent="0.3">
      <c r="A10" s="3" t="s">
        <v>33</v>
      </c>
      <c r="B10" s="9" t="s">
        <v>73</v>
      </c>
    </row>
    <row r="11" spans="1:3" ht="87" customHeight="1" x14ac:dyDescent="0.3">
      <c r="A11" s="3" t="s">
        <v>34</v>
      </c>
      <c r="B11" s="9" t="s">
        <v>74</v>
      </c>
    </row>
    <row r="12" spans="1:3" ht="202" customHeight="1" x14ac:dyDescent="0.3">
      <c r="A12" s="3" t="s">
        <v>86</v>
      </c>
      <c r="B12" s="9" t="s">
        <v>88</v>
      </c>
    </row>
    <row r="13" spans="1:3" ht="144" customHeight="1" x14ac:dyDescent="0.3">
      <c r="A13" s="4" t="s">
        <v>87</v>
      </c>
      <c r="B13" s="9" t="s">
        <v>79</v>
      </c>
    </row>
    <row r="14" spans="1:3" ht="205.5" customHeight="1" x14ac:dyDescent="0.3">
      <c r="A14" s="3" t="s">
        <v>0</v>
      </c>
      <c r="B14" s="9" t="s">
        <v>84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2025-11-07T09:12:52Z</dcterms:modified>
</cp:coreProperties>
</file>