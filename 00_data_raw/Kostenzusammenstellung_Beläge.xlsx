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5" documentId="8_{5ADA646C-B62C-48A4-9367-510A53D45AD1}" xr6:coauthVersionLast="47" xr6:coauthVersionMax="47" xr10:uidLastSave="{1702DB77-FFD6-40DE-9565-339738695733}"/>
  <bookViews>
    <workbookView xWindow="-38520" yWindow="-1470" windowWidth="38640" windowHeight="21120" activeTab="1" xr2:uid="{09925A0B-29B9-42C4-BA7F-E913F411AAE4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<sst xmlns="http://schemas.openxmlformats.org/spreadsheetml/2006/main" count="101" uniqueCount="41">
  <si>
    <t>belagskategorie</t>
  </si>
  <si>
    <t>option</t>
  </si>
  <si>
    <t>lebensdauer</t>
  </si>
  <si>
    <t>versickerung</t>
  </si>
  <si>
    <t>oberflaechentemperatur</t>
  </si>
  <si>
    <t>befahrbarkeit</t>
  </si>
  <si>
    <t>initialkosten</t>
  </si>
  <si>
    <t>initialkosten_100a</t>
  </si>
  <si>
    <t>unterhalt_100a</t>
  </si>
  <si>
    <t>co2_100a</t>
  </si>
  <si>
    <t>graueEnergie_100a</t>
  </si>
  <si>
    <t>recyclingfaehigkeit</t>
  </si>
  <si>
    <t>lokaleMaterialien</t>
  </si>
  <si>
    <t>modulareErneuerbarkeit</t>
  </si>
  <si>
    <t>Asphalt</t>
  </si>
  <si>
    <t>Recyclingasphalt</t>
  </si>
  <si>
    <t>Sickerasphalt</t>
  </si>
  <si>
    <t>Heller Asphalt</t>
  </si>
  <si>
    <t>Selbstheilender Asphalt</t>
  </si>
  <si>
    <t>Pflaster</t>
  </si>
  <si>
    <t>Natursteinpflaster (sickerfähig, 6-10 mm Fugen)</t>
  </si>
  <si>
    <t>Betonpflastersteine (geschlossen, 2-4 mm Fugen)</t>
  </si>
  <si>
    <t>Ökopflastersteine (sickerfähig, 6-10 mm Fugen)</t>
  </si>
  <si>
    <t>Sickerbeläge</t>
  </si>
  <si>
    <t>Chaussierung</t>
  </si>
  <si>
    <t>Kiesrasen</t>
  </si>
  <si>
    <t>Rasengittersteine</t>
  </si>
  <si>
    <t>Anzahl Zyklen</t>
  </si>
  <si>
    <t>z1</t>
  </si>
  <si>
    <t>z2</t>
  </si>
  <si>
    <t>z3</t>
  </si>
  <si>
    <t>z4</t>
  </si>
  <si>
    <t>z5</t>
  </si>
  <si>
    <t>z6</t>
  </si>
  <si>
    <t>z7</t>
  </si>
  <si>
    <t>z0</t>
  </si>
  <si>
    <t>Szenario 0: Baseline (IST)</t>
  </si>
  <si>
    <t>multifunktionale_nutzungsqualitaet</t>
  </si>
  <si>
    <t>langlebigkeit_wirtschaftlichkeit</t>
  </si>
  <si>
    <t>kreislauffaehigkeit</t>
  </si>
  <si>
    <t>umweltwirkung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</si>
</sst>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Tabelle1!$H$1</c:f>
              <c:strCache>
                <c:ptCount val="1"/>
                <c:pt idx="0">
                  <c:v>unterhalt_100a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Tabelle1!$H$2:$H$11</c:f>
              <c:numCache>
                <c:formatCode>General</c:formatCode>
                <c:ptCount val="10"/>
                <c:pt idx="0">
                  <c:v>400</c:v>
                </c:pt>
                <c:pt idx="1">
                  <c:v>650</c:v>
                </c:pt>
                <c:pt idx="2">
                  <c:v>400</c:v>
                </c:pt>
                <c:pt idx="3">
                  <c:v>200</c:v>
                </c:pt>
                <c:pt idx="4">
                  <c:v>500</c:v>
                </c:pt>
                <c:pt idx="5">
                  <c:v>500</c:v>
                </c:pt>
                <c:pt idx="6">
                  <c:v>700</c:v>
                </c:pt>
                <c:pt idx="7">
                  <c:v>500</c:v>
                </c:pt>
                <c:pt idx="8">
                  <c:v>500</c:v>
                </c:pt>
                <c:pt idx="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B-4E86-A0CB-7643C785C90F}"/>
            </c:ext>
          </c:extLst>
        </c:ser>
        <c:ser>
          <c:idx val="1"/>
          <c:order val="1"/>
          <c:tx>
            <c:strRef>
              <c:f>Tabelle1!$I$1</c:f>
              <c:strCache>
                <c:ptCount val="1"/>
                <c:pt idx="0">
                  <c:v>z0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Tabelle1!$I$2:$I$11</c:f>
              <c:numCache>
                <c:formatCode>General</c:formatCode>
                <c:ptCount val="10"/>
                <c:pt idx="0">
                  <c:v>100</c:v>
                </c:pt>
                <c:pt idx="1">
                  <c:v>115</c:v>
                </c:pt>
                <c:pt idx="2">
                  <c:v>110</c:v>
                </c:pt>
                <c:pt idx="3">
                  <c:v>138.5</c:v>
                </c:pt>
                <c:pt idx="4">
                  <c:v>350</c:v>
                </c:pt>
                <c:pt idx="5">
                  <c:v>130</c:v>
                </c:pt>
                <c:pt idx="6">
                  <c:v>125</c:v>
                </c:pt>
                <c:pt idx="7">
                  <c:v>80</c:v>
                </c:pt>
                <c:pt idx="8">
                  <c:v>100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B-4E86-A0CB-7643C785C90F}"/>
            </c:ext>
          </c:extLst>
        </c:ser>
        <c:ser>
          <c:idx val="2"/>
          <c:order val="2"/>
          <c:tx>
            <c:strRef>
              <c:f>Tabelle1!$J$1</c:f>
              <c:strCache>
                <c:ptCount val="1"/>
                <c:pt idx="0">
                  <c:v>z1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Tabelle1!$J$2:$J$11</c:f>
              <c:numCache>
                <c:formatCode>General</c:formatCode>
                <c:ptCount val="10"/>
                <c:pt idx="0">
                  <c:v>100</c:v>
                </c:pt>
                <c:pt idx="1">
                  <c:v>115</c:v>
                </c:pt>
                <c:pt idx="2">
                  <c:v>110</c:v>
                </c:pt>
                <c:pt idx="3">
                  <c:v>138.5</c:v>
                </c:pt>
                <c:pt idx="4">
                  <c:v>350</c:v>
                </c:pt>
                <c:pt idx="5">
                  <c:v>130</c:v>
                </c:pt>
                <c:pt idx="6">
                  <c:v>125</c:v>
                </c:pt>
                <c:pt idx="7">
                  <c:v>80</c:v>
                </c:pt>
                <c:pt idx="8">
                  <c:v>100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CB-4E86-A0CB-7643C785C90F}"/>
            </c:ext>
          </c:extLst>
        </c:ser>
        <c:ser>
          <c:idx val="3"/>
          <c:order val="3"/>
          <c:tx>
            <c:strRef>
              <c:f>Tabelle1!$K$1</c:f>
              <c:strCache>
                <c:ptCount val="1"/>
                <c:pt idx="0">
                  <c:v>z2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Tabelle1!$K$2:$K$11</c:f>
              <c:numCache>
                <c:formatCode>General</c:formatCode>
                <c:ptCount val="10"/>
                <c:pt idx="0">
                  <c:v>100</c:v>
                </c:pt>
                <c:pt idx="1">
                  <c:v>115</c:v>
                </c:pt>
                <c:pt idx="2">
                  <c:v>110</c:v>
                </c:pt>
                <c:pt idx="3">
                  <c:v>138.5</c:v>
                </c:pt>
                <c:pt idx="4">
                  <c:v>350</c:v>
                </c:pt>
                <c:pt idx="5">
                  <c:v>130</c:v>
                </c:pt>
                <c:pt idx="6">
                  <c:v>125</c:v>
                </c:pt>
                <c:pt idx="7">
                  <c:v>80</c:v>
                </c:pt>
                <c:pt idx="8">
                  <c:v>100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CB-4E86-A0CB-7643C785C90F}"/>
            </c:ext>
          </c:extLst>
        </c:ser>
        <c:ser>
          <c:idx val="4"/>
          <c:order val="4"/>
          <c:tx>
            <c:strRef>
              <c:f>Tabelle1!$L$1</c:f>
              <c:strCache>
                <c:ptCount val="1"/>
                <c:pt idx="0">
                  <c:v>z3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Tabelle1!$L$2:$L$11</c:f>
              <c:numCache>
                <c:formatCode>General</c:formatCode>
                <c:ptCount val="10"/>
                <c:pt idx="0">
                  <c:v>100</c:v>
                </c:pt>
                <c:pt idx="1">
                  <c:v>115</c:v>
                </c:pt>
                <c:pt idx="2">
                  <c:v>110</c:v>
                </c:pt>
                <c:pt idx="6">
                  <c:v>125</c:v>
                </c:pt>
                <c:pt idx="7">
                  <c:v>80</c:v>
                </c:pt>
                <c:pt idx="8">
                  <c:v>100</c:v>
                </c:pt>
                <c:pt idx="9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CB-4E86-A0CB-7643C785C90F}"/>
            </c:ext>
          </c:extLst>
        </c:ser>
        <c:ser>
          <c:idx val="5"/>
          <c:order val="5"/>
          <c:tx>
            <c:strRef>
              <c:f>Tabelle1!$M$1</c:f>
              <c:strCache>
                <c:ptCount val="1"/>
                <c:pt idx="0">
                  <c:v>z4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Tabelle1!$M$2:$M$11</c:f>
              <c:numCache>
                <c:formatCode>General</c:formatCode>
                <c:ptCount val="10"/>
                <c:pt idx="0">
                  <c:v>100</c:v>
                </c:pt>
                <c:pt idx="1">
                  <c:v>115</c:v>
                </c:pt>
                <c:pt idx="2">
                  <c:v>110</c:v>
                </c:pt>
                <c:pt idx="7">
                  <c:v>80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CB-4E86-A0CB-7643C785C90F}"/>
            </c:ext>
          </c:extLst>
        </c:ser>
        <c:ser>
          <c:idx val="6"/>
          <c:order val="6"/>
          <c:tx>
            <c:strRef>
              <c:f>Tabelle1!$N$1</c:f>
              <c:strCache>
                <c:ptCount val="1"/>
                <c:pt idx="0">
                  <c:v>z5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Tabelle1!$N$2:$N$11</c:f>
              <c:numCache>
                <c:formatCode>General</c:formatCode>
                <c:ptCount val="10"/>
                <c:pt idx="1">
                  <c:v>115</c:v>
                </c:pt>
                <c:pt idx="7">
                  <c:v>80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CB-4E86-A0CB-7643C785C90F}"/>
            </c:ext>
          </c:extLst>
        </c:ser>
        <c:ser>
          <c:idx val="7"/>
          <c:order val="7"/>
          <c:tx>
            <c:strRef>
              <c:f>Tabelle1!$O$1</c:f>
              <c:strCache>
                <c:ptCount val="1"/>
                <c:pt idx="0">
                  <c:v>z6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Tabelle1!$O$2:$O$11</c:f>
              <c:numCache>
                <c:formatCode>General</c:formatCode>
                <c:ptCount val="10"/>
                <c:pt idx="1">
                  <c:v>115</c:v>
                </c:pt>
                <c:pt idx="7">
                  <c:v>80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CB-4E86-A0CB-7643C785C90F}"/>
            </c:ext>
          </c:extLst>
        </c:ser>
        <c:ser>
          <c:idx val="8"/>
          <c:order val="8"/>
          <c:tx>
            <c:strRef>
              <c:f>Tabelle1!$P$1</c:f>
              <c:strCache>
                <c:ptCount val="1"/>
                <c:pt idx="0">
                  <c:v>z7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Tabelle1!$G$2:$G$11</c:f>
              <c:strCache>
                <c:ptCount val="10"/>
                <c:pt idx="0">
                  <c:v>Recyclingasphalt</c:v>
                </c:pt>
                <c:pt idx="1">
                  <c:v>Sickerasphalt</c:v>
                </c:pt>
                <c:pt idx="2">
                  <c:v>Heller Asphalt</c:v>
                </c:pt>
                <c:pt idx="3">
                  <c:v>Selbstheilender Asphalt</c:v>
                </c:pt>
                <c:pt idx="4">
                  <c:v>Natursteinpflaster (sickerfähig, 6-10 mm Fugen)</c:v>
                </c:pt>
                <c:pt idx="5">
                  <c:v>Betonpflastersteine (geschlossen, 2-4 mm Fugen)</c:v>
                </c:pt>
                <c:pt idx="6">
                  <c:v>Ökopflastersteine (sickerfähig, 6-10 mm Fugen)</c:v>
                </c:pt>
                <c:pt idx="7">
                  <c:v>Chaussierung</c:v>
                </c:pt>
                <c:pt idx="8">
                  <c:v>Kiesrasen</c:v>
                </c:pt>
                <c:pt idx="9">
                  <c:v>Rasengittersteine</c:v>
                </c:pt>
              </c:strCache>
            </c:strRef>
          </c:cat>
          <c:val>
            <c:numRef>
              <c:f>Tabelle1!$P$2:$P$11</c:f>
              <c:numCache>
                <c:formatCode>General</c:formatCode>
                <c:ptCount val="10"/>
                <c:pt idx="1">
                  <c:v>115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CB-4E86-A0CB-7643C785C9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66006432"/>
        <c:axId val="466057088"/>
      </c:barChart>
      <c:catAx>
        <c:axId val="4660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6057088"/>
        <c:crosses val="autoZero"/>
        <c:auto val="1"/>
        <c:lblAlgn val="ctr"/>
        <c:lblOffset val="100"/>
        <c:noMultiLvlLbl val="0"/>
      </c:catAx>
      <c:valAx>
        <c:axId val="4660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60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358774</xdr:colOff>
      <xdr:row>14</xdr:row>
      <xdr:rowOff>153987</xdr:rowOff>
    </xdr:from>
    <xdr:to>
      <xdr:col>19</xdr:col>
      <xdr:colOff>476249</xdr:colOff>
      <xdr:row>44</xdr:row>
      <xdr:rowOff>95250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61967C0-7922-87A6-D0A2-A3682FCA0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2785-2065-4630-9DDA-7E8EBAA3F3F1}">
  <dimension ref="A1:P11"/>
  <sheetViews>
    <sheetView workbookViewId="0">
      <selection activeCell="E21" sqref="E21"/>
    </sheetView>
  </sheetViews>
  <sheetFormatPr baseColWidth="10" defaultRowHeight="14.5" x14ac:dyDescent="0.35"/>
  <cols>
    <col min="5" max="5" width="18.81640625" customWidth="1"/>
    <col min="6" max="6" width="19.81640625" customWidth="1"/>
    <col min="8" max="8" width="21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27</v>
      </c>
      <c r="E1" t="s">
        <v>6</v>
      </c>
      <c r="F1" t="s">
        <v>7</v>
      </c>
      <c r="G1" t="s">
        <v>1</v>
      </c>
      <c r="H1" t="s">
        <v>8</v>
      </c>
      <c r="I1" t="s">
        <v>35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35">
      <c r="A2" t="s">
        <v>14</v>
      </c>
      <c r="B2" t="s">
        <v>15</v>
      </c>
      <c r="C2">
        <v>22.5</v>
      </c>
      <c r="D2">
        <f>ROUNDUP(100/C2,0)</f>
        <v>5</v>
      </c>
      <c r="E2">
        <v>100</v>
      </c>
      <c r="F2">
        <v>500</v>
      </c>
      <c r="G2" t="s">
        <v>15</v>
      </c>
      <c r="H2">
        <v>400</v>
      </c>
      <c r="I2">
        <v>100</v>
      </c>
      <c r="J2">
        <v>100</v>
      </c>
      <c r="K2">
        <v>100</v>
      </c>
      <c r="L2">
        <v>100</v>
      </c>
      <c r="M2">
        <v>100</v>
      </c>
    </row>
    <row r="3" spans="1:16" x14ac:dyDescent="0.35">
      <c r="A3" t="s">
        <v>14</v>
      </c>
      <c r="B3" t="s">
        <v>16</v>
      </c>
      <c r="C3">
        <v>12.5</v>
      </c>
      <c r="D3">
        <f t="shared" ref="D3:D11" si="0">ROUNDUP(100/C3,0)</f>
        <v>8</v>
      </c>
      <c r="E3">
        <v>115</v>
      </c>
      <c r="F3">
        <v>920</v>
      </c>
      <c r="G3" t="s">
        <v>16</v>
      </c>
      <c r="H3">
        <v>650</v>
      </c>
      <c r="I3">
        <v>115</v>
      </c>
      <c r="J3">
        <v>115</v>
      </c>
      <c r="K3">
        <v>115</v>
      </c>
      <c r="L3">
        <v>115</v>
      </c>
      <c r="M3">
        <v>115</v>
      </c>
      <c r="N3">
        <v>115</v>
      </c>
      <c r="O3">
        <v>115</v>
      </c>
      <c r="P3">
        <v>115</v>
      </c>
    </row>
    <row r="4" spans="1:16" x14ac:dyDescent="0.35">
      <c r="A4" t="s">
        <v>14</v>
      </c>
      <c r="B4" t="s">
        <v>17</v>
      </c>
      <c r="C4">
        <v>22.5</v>
      </c>
      <c r="D4">
        <f t="shared" si="0"/>
        <v>5</v>
      </c>
      <c r="E4">
        <v>110</v>
      </c>
      <c r="F4">
        <v>550</v>
      </c>
      <c r="G4" t="s">
        <v>17</v>
      </c>
      <c r="H4">
        <v>400</v>
      </c>
      <c r="I4">
        <v>110</v>
      </c>
      <c r="J4">
        <v>110</v>
      </c>
      <c r="K4">
        <v>110</v>
      </c>
      <c r="L4">
        <v>110</v>
      </c>
      <c r="M4">
        <v>110</v>
      </c>
    </row>
    <row r="5" spans="1:16" x14ac:dyDescent="0.35">
      <c r="A5" t="s">
        <v>14</v>
      </c>
      <c r="B5" t="s">
        <v>18</v>
      </c>
      <c r="C5">
        <v>42.5</v>
      </c>
      <c r="D5">
        <f t="shared" si="0"/>
        <v>3</v>
      </c>
      <c r="E5">
        <v>138.5</v>
      </c>
      <c r="F5">
        <v>415.5</v>
      </c>
      <c r="G5" t="s">
        <v>18</v>
      </c>
      <c r="H5">
        <v>200</v>
      </c>
      <c r="I5">
        <v>138.5</v>
      </c>
      <c r="J5">
        <v>138.5</v>
      </c>
      <c r="K5">
        <v>138.5</v>
      </c>
    </row>
    <row r="6" spans="1:16" x14ac:dyDescent="0.35">
      <c r="A6" t="s">
        <v>19</v>
      </c>
      <c r="B6" t="s">
        <v>20</v>
      </c>
      <c r="C6">
        <v>45</v>
      </c>
      <c r="D6">
        <f t="shared" si="0"/>
        <v>3</v>
      </c>
      <c r="E6">
        <v>350</v>
      </c>
      <c r="F6">
        <v>1050</v>
      </c>
      <c r="G6" t="s">
        <v>20</v>
      </c>
      <c r="H6">
        <v>500</v>
      </c>
      <c r="I6">
        <v>350</v>
      </c>
      <c r="J6">
        <v>350</v>
      </c>
      <c r="K6">
        <v>350</v>
      </c>
    </row>
    <row r="7" spans="1:16" x14ac:dyDescent="0.35">
      <c r="A7" t="s">
        <v>19</v>
      </c>
      <c r="B7" t="s">
        <v>21</v>
      </c>
      <c r="C7">
        <v>35</v>
      </c>
      <c r="D7">
        <f t="shared" si="0"/>
        <v>3</v>
      </c>
      <c r="E7">
        <v>130</v>
      </c>
      <c r="F7">
        <v>390</v>
      </c>
      <c r="G7" t="s">
        <v>21</v>
      </c>
      <c r="H7">
        <v>500</v>
      </c>
      <c r="I7">
        <v>130</v>
      </c>
      <c r="J7">
        <v>130</v>
      </c>
      <c r="K7">
        <v>130</v>
      </c>
    </row>
    <row r="8" spans="1:16" x14ac:dyDescent="0.35">
      <c r="A8" t="s">
        <v>19</v>
      </c>
      <c r="B8" t="s">
        <v>22</v>
      </c>
      <c r="C8">
        <v>30</v>
      </c>
      <c r="D8">
        <f t="shared" si="0"/>
        <v>4</v>
      </c>
      <c r="E8">
        <v>125</v>
      </c>
      <c r="F8">
        <v>500</v>
      </c>
      <c r="G8" t="s">
        <v>22</v>
      </c>
      <c r="H8">
        <v>700</v>
      </c>
      <c r="I8">
        <v>125</v>
      </c>
      <c r="J8">
        <v>125</v>
      </c>
      <c r="K8">
        <v>125</v>
      </c>
      <c r="L8">
        <v>125</v>
      </c>
    </row>
    <row r="9" spans="1:16" x14ac:dyDescent="0.35">
      <c r="A9" t="s">
        <v>23</v>
      </c>
      <c r="B9" t="s">
        <v>24</v>
      </c>
      <c r="C9">
        <v>12.5</v>
      </c>
      <c r="D9">
        <f t="shared" si="0"/>
        <v>8</v>
      </c>
      <c r="E9">
        <v>80</v>
      </c>
      <c r="F9">
        <v>640</v>
      </c>
      <c r="G9" t="s">
        <v>24</v>
      </c>
      <c r="H9">
        <v>500</v>
      </c>
      <c r="I9">
        <v>80</v>
      </c>
      <c r="J9">
        <v>80</v>
      </c>
      <c r="K9">
        <v>80</v>
      </c>
      <c r="L9">
        <v>80</v>
      </c>
      <c r="M9">
        <v>80</v>
      </c>
      <c r="N9">
        <v>80</v>
      </c>
      <c r="O9">
        <v>80</v>
      </c>
      <c r="P9">
        <v>80</v>
      </c>
    </row>
    <row r="10" spans="1:16" x14ac:dyDescent="0.35">
      <c r="A10" t="s">
        <v>23</v>
      </c>
      <c r="B10" t="s">
        <v>25</v>
      </c>
      <c r="C10">
        <v>15</v>
      </c>
      <c r="D10">
        <f t="shared" si="0"/>
        <v>7</v>
      </c>
      <c r="E10">
        <v>100</v>
      </c>
      <c r="F10">
        <v>700</v>
      </c>
      <c r="G10" t="s">
        <v>25</v>
      </c>
      <c r="H10">
        <v>500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6" x14ac:dyDescent="0.35">
      <c r="A11" t="s">
        <v>23</v>
      </c>
      <c r="B11" t="s">
        <v>26</v>
      </c>
      <c r="C11">
        <v>25</v>
      </c>
      <c r="D11">
        <f t="shared" si="0"/>
        <v>4</v>
      </c>
      <c r="E11">
        <v>145</v>
      </c>
      <c r="F11">
        <v>580</v>
      </c>
      <c r="G11" t="s">
        <v>26</v>
      </c>
      <c r="H11">
        <v>700</v>
      </c>
      <c r="I11">
        <v>145</v>
      </c>
      <c r="J11">
        <v>145</v>
      </c>
      <c r="K11">
        <v>145</v>
      </c>
      <c r="L11">
        <v>145</v>
      </c>
    </row>
  </sheetData>
  <phoneticPr fontId="1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9691-6A0C-4003-BD1A-FABFFBE3A7FF}">
  <dimension ref="A1:L11"/>
  <sheetViews>
    <sheetView tabSelected="1" workbookViewId="0">
      <selection activeCell="L1" sqref="L1:L11"/>
    </sheetView>
  </sheetViews>
  <sheetFormatPr baseColWidth="10" defaultRowHeight="14.5" x14ac:dyDescent="0.35"/>
  <sheetData>
    <row r="1" spans="1:12" x14ac:dyDescent="0.35">
      <c r="B1" t="s">
        <v>14</v>
      </c>
      <c r="C1" t="s">
        <v>16</v>
      </c>
      <c r="D1" t="s">
        <v>5</v>
      </c>
      <c r="E1">
        <v>3</v>
      </c>
      <c r="F1" t="s">
        <v>36</v>
      </c>
      <c r="G1">
        <v>0.13333333</v>
      </c>
      <c r="H1" t="s">
        <v>37</v>
      </c>
      <c r="I1">
        <v>1</v>
      </c>
      <c r="J1">
        <v>5</v>
      </c>
      <c r="K1">
        <v>0.5</v>
      </c>
      <c r="L1">
        <v>6.6666666599999994E-2</v>
      </c>
    </row>
    <row r="2" spans="1:12" x14ac:dyDescent="0.35">
      <c r="A2">
        <v>49</v>
      </c>
      <c r="B2" t="s">
        <v>14</v>
      </c>
      <c r="C2" t="s">
        <v>16</v>
      </c>
      <c r="D2" t="s">
        <v>3</v>
      </c>
      <c r="E2">
        <v>0.35</v>
      </c>
      <c r="F2" t="s">
        <v>36</v>
      </c>
      <c r="G2">
        <v>0.13333333</v>
      </c>
      <c r="H2" t="s">
        <v>37</v>
      </c>
      <c r="I2">
        <v>0.2</v>
      </c>
      <c r="J2">
        <v>1</v>
      </c>
      <c r="K2">
        <v>0.1875</v>
      </c>
      <c r="L2">
        <v>2.5000000000000001E-2</v>
      </c>
    </row>
    <row r="3" spans="1:12" x14ac:dyDescent="0.35">
      <c r="A3">
        <v>61</v>
      </c>
      <c r="B3" t="s">
        <v>14</v>
      </c>
      <c r="C3" t="s">
        <v>16</v>
      </c>
      <c r="D3" t="s">
        <v>7</v>
      </c>
      <c r="E3">
        <v>920</v>
      </c>
      <c r="F3" t="s">
        <v>36</v>
      </c>
      <c r="G3">
        <v>0.1</v>
      </c>
      <c r="H3" t="s">
        <v>38</v>
      </c>
      <c r="I3">
        <v>390</v>
      </c>
      <c r="J3">
        <v>1050</v>
      </c>
      <c r="K3">
        <v>0.1969697</v>
      </c>
      <c r="L3">
        <v>1.9696969700000001E-2</v>
      </c>
    </row>
    <row r="4" spans="1:12" x14ac:dyDescent="0.35">
      <c r="A4">
        <v>77</v>
      </c>
      <c r="B4" t="s">
        <v>14</v>
      </c>
      <c r="C4" t="s">
        <v>16</v>
      </c>
      <c r="D4" t="s">
        <v>11</v>
      </c>
      <c r="E4">
        <v>1</v>
      </c>
      <c r="F4" t="s">
        <v>36</v>
      </c>
      <c r="G4">
        <v>3.3333330000000001E-2</v>
      </c>
      <c r="H4" t="s">
        <v>39</v>
      </c>
      <c r="I4">
        <v>0</v>
      </c>
      <c r="J4">
        <v>2</v>
      </c>
      <c r="K4">
        <v>0.5</v>
      </c>
      <c r="L4">
        <v>1.6666666699999999E-2</v>
      </c>
    </row>
    <row r="5" spans="1:12" x14ac:dyDescent="0.35">
      <c r="A5">
        <v>81</v>
      </c>
      <c r="B5" t="s">
        <v>14</v>
      </c>
      <c r="C5" t="s">
        <v>16</v>
      </c>
      <c r="D5" t="s">
        <v>12</v>
      </c>
      <c r="E5">
        <v>0.6</v>
      </c>
      <c r="F5" t="s">
        <v>36</v>
      </c>
      <c r="G5">
        <v>3.3333330000000001E-2</v>
      </c>
      <c r="H5" t="s">
        <v>39</v>
      </c>
      <c r="I5">
        <v>0.4</v>
      </c>
      <c r="J5">
        <v>0.8</v>
      </c>
      <c r="K5">
        <v>0.5</v>
      </c>
      <c r="L5">
        <v>1.6666666600000001E-2</v>
      </c>
    </row>
    <row r="6" spans="1:12" x14ac:dyDescent="0.35">
      <c r="A6">
        <v>53</v>
      </c>
      <c r="B6" t="s">
        <v>14</v>
      </c>
      <c r="C6" t="s">
        <v>16</v>
      </c>
      <c r="D6" t="s">
        <v>4</v>
      </c>
      <c r="E6">
        <v>55.5</v>
      </c>
      <c r="F6" t="s">
        <v>36</v>
      </c>
      <c r="G6">
        <v>0.13333333</v>
      </c>
      <c r="H6" t="s">
        <v>37</v>
      </c>
      <c r="I6">
        <v>26</v>
      </c>
      <c r="J6">
        <v>58.4</v>
      </c>
      <c r="K6">
        <v>8.9506169999999996E-2</v>
      </c>
      <c r="L6">
        <v>1.19341564E-2</v>
      </c>
    </row>
    <row r="7" spans="1:12" x14ac:dyDescent="0.35">
      <c r="A7">
        <v>65</v>
      </c>
      <c r="B7" t="s">
        <v>14</v>
      </c>
      <c r="C7" t="s">
        <v>16</v>
      </c>
      <c r="D7" t="s">
        <v>8</v>
      </c>
      <c r="E7">
        <v>650</v>
      </c>
      <c r="F7" t="s">
        <v>36</v>
      </c>
      <c r="G7">
        <v>0.1</v>
      </c>
      <c r="H7" t="s">
        <v>38</v>
      </c>
      <c r="I7">
        <v>200</v>
      </c>
      <c r="J7">
        <v>700</v>
      </c>
      <c r="K7">
        <v>0.1</v>
      </c>
      <c r="L7">
        <v>0.01</v>
      </c>
    </row>
    <row r="8" spans="1:12" x14ac:dyDescent="0.35">
      <c r="A8">
        <v>45</v>
      </c>
      <c r="B8" t="s">
        <v>14</v>
      </c>
      <c r="C8" t="s">
        <v>16</v>
      </c>
      <c r="D8" t="s">
        <v>2</v>
      </c>
      <c r="E8">
        <v>12.5</v>
      </c>
      <c r="F8" t="s">
        <v>36</v>
      </c>
      <c r="G8">
        <v>0.2</v>
      </c>
      <c r="H8" t="s">
        <v>38</v>
      </c>
      <c r="I8">
        <v>12.5</v>
      </c>
      <c r="J8">
        <v>45</v>
      </c>
      <c r="K8">
        <v>0</v>
      </c>
      <c r="L8">
        <v>0</v>
      </c>
    </row>
    <row r="9" spans="1:12" x14ac:dyDescent="0.35">
      <c r="A9">
        <v>69</v>
      </c>
      <c r="B9" t="s">
        <v>14</v>
      </c>
      <c r="C9" t="s">
        <v>16</v>
      </c>
      <c r="D9" t="s">
        <v>9</v>
      </c>
      <c r="E9">
        <v>480</v>
      </c>
      <c r="F9" t="s">
        <v>36</v>
      </c>
      <c r="G9">
        <v>0.05</v>
      </c>
      <c r="H9" t="s">
        <v>40</v>
      </c>
      <c r="I9">
        <v>135</v>
      </c>
      <c r="J9">
        <v>480</v>
      </c>
      <c r="K9">
        <v>0</v>
      </c>
      <c r="L9">
        <v>0</v>
      </c>
    </row>
    <row r="10" spans="1:12" x14ac:dyDescent="0.35">
      <c r="A10">
        <v>73</v>
      </c>
      <c r="B10" t="s">
        <v>14</v>
      </c>
      <c r="C10" t="s">
        <v>16</v>
      </c>
      <c r="D10" t="s">
        <v>10</v>
      </c>
      <c r="E10">
        <v>3280</v>
      </c>
      <c r="F10" t="s">
        <v>36</v>
      </c>
      <c r="G10">
        <v>0.05</v>
      </c>
      <c r="H10" t="s">
        <v>40</v>
      </c>
      <c r="I10">
        <v>450</v>
      </c>
      <c r="J10">
        <v>3280</v>
      </c>
      <c r="K10">
        <v>0</v>
      </c>
      <c r="L10">
        <v>0</v>
      </c>
    </row>
    <row r="11" spans="1:12" x14ac:dyDescent="0.35">
      <c r="A11">
        <v>85</v>
      </c>
      <c r="B11" t="s">
        <v>14</v>
      </c>
      <c r="C11" t="s">
        <v>16</v>
      </c>
      <c r="D11" t="s">
        <v>13</v>
      </c>
      <c r="E11">
        <v>0</v>
      </c>
      <c r="F11" t="s">
        <v>36</v>
      </c>
      <c r="G11">
        <v>3.3333330000000001E-2</v>
      </c>
      <c r="H11" t="s">
        <v>39</v>
      </c>
      <c r="I11">
        <v>0</v>
      </c>
      <c r="J11">
        <v>2</v>
      </c>
      <c r="K11">
        <v>0</v>
      </c>
      <c r="L1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 Sarah (pfeifsar)</dc:creator>
  <cp:lastModifiedBy>Pfeiffer Sarah (pfeifsar)</cp:lastModifiedBy>
  <dcterms:created xsi:type="dcterms:W3CDTF">2025-11-29T10:53:38Z</dcterms:created>
  <dcterms:modified xsi:type="dcterms:W3CDTF">2025-11-29T11:40:47Z</dcterms:modified>
</cp:coreProperties>
</file>